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IN - DANE" sheetId="1" r:id="rId4"/>
    <sheet state="visible" name="TERMIN - DOKUMENT" sheetId="2" r:id="rId5"/>
    <sheet state="visible" name="OFERTA - DANE" sheetId="3" r:id="rId6"/>
    <sheet state="visible" name="OFERTA - DOKUMENT" sheetId="4" r:id="rId7"/>
    <sheet state="visible" name="OFERTY" sheetId="5" r:id="rId8"/>
    <sheet state="visible" name="ETAPY WSPÓŁPRACY" sheetId="6" r:id="rId9"/>
    <sheet state="visible" name="CENNIK USŁUG DODATKOWYCH" sheetId="7" r:id="rId10"/>
  </sheets>
  <definedNames/>
  <calcPr/>
  <extLst>
    <ext uri="GoogleSheetsCustomDataVersion2">
      <go:sheetsCustomData xmlns:go="http://customooxmlschemas.google.com/" r:id="rId11" roundtripDataChecksum="IPUSs/VaouSmkv1xf7jZx3q3amomOtvaBv+0bngVkb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0">
      <text>
        <t xml:space="preserve">======
ID#AAAB-S4V8Ms
    (2026-06-25 18:31:39)
tutaj wpisz wartość za kadr</t>
      </text>
    </comment>
    <comment authorId="0" ref="F20">
      <text>
        <t xml:space="preserve">======
ID#AAAB-S4V8Mo
    (2026-06-25 18:31:39)
tutaj wpisz wartość za modelowanie poszczególnych pomieszczeń</t>
      </text>
    </comment>
  </commentList>
  <extLst>
    <ext uri="GoogleSheetsCustomDataVersion2">
      <go:sheetsCustomData xmlns:go="http://customooxmlschemas.google.com/" r:id="rId1" roundtripDataSignature="AMtx7mgnQRJivUxKeDz1GPl4zoxeQJYVDQ=="/>
    </ext>
  </extLst>
</comments>
</file>

<file path=xl/sharedStrings.xml><?xml version="1.0" encoding="utf-8"?>
<sst xmlns="http://schemas.openxmlformats.org/spreadsheetml/2006/main" count="798" uniqueCount="322">
  <si>
    <t>KALKULATOR TERMINU PROJEKTU</t>
  </si>
  <si>
    <t>Architekt:</t>
  </si>
  <si>
    <t>INWENTARYZACJA</t>
  </si>
  <si>
    <t>RZUTY FUNKCJONALNE</t>
  </si>
  <si>
    <t>FINALNY RZUT FUNKCJONALNY</t>
  </si>
  <si>
    <t>SPOTKANIA</t>
  </si>
  <si>
    <t>INSPIRACJE</t>
  </si>
  <si>
    <t>MOODBOARD</t>
  </si>
  <si>
    <t>WIZUALIZACJE 3D</t>
  </si>
  <si>
    <t>RYSUNKI TECHNICZNE</t>
  </si>
  <si>
    <t>TECZKA PROJEKTOWA</t>
  </si>
  <si>
    <t>KOMUNIKACJA PROJEKTOWA</t>
  </si>
  <si>
    <t>IMIĘ I NAZWISKO</t>
  </si>
  <si>
    <t xml:space="preserve">Dni robocze: (architekt) </t>
  </si>
  <si>
    <t xml:space="preserve">Dni robocze: (inwestor) 	</t>
  </si>
  <si>
    <t>ARCH.</t>
  </si>
  <si>
    <t>INW.</t>
  </si>
  <si>
    <t>PRZEDZIAŁ DNI:</t>
  </si>
  <si>
    <t>DO</t>
  </si>
  <si>
    <t>OD</t>
  </si>
  <si>
    <t>POMIESZCZENIE</t>
  </si>
  <si>
    <t>Cały projekt</t>
  </si>
  <si>
    <t>Sień/Hol</t>
  </si>
  <si>
    <t>Hol wejściowy</t>
  </si>
  <si>
    <t>Korytarz</t>
  </si>
  <si>
    <t>Kuchnia</t>
  </si>
  <si>
    <t>Jadalnia</t>
  </si>
  <si>
    <t>Toaleta</t>
  </si>
  <si>
    <t>Łazienka</t>
  </si>
  <si>
    <t>Pralnia</t>
  </si>
  <si>
    <t>Salon</t>
  </si>
  <si>
    <t>Sypialnia</t>
  </si>
  <si>
    <t>Garderoba</t>
  </si>
  <si>
    <t>Pokój dziecięcy</t>
  </si>
  <si>
    <t>Pokój gościnny</t>
  </si>
  <si>
    <t>Gabinet</t>
  </si>
  <si>
    <t>Garaż</t>
  </si>
  <si>
    <t>Spiżarnia</t>
  </si>
  <si>
    <t>Schody</t>
  </si>
  <si>
    <t>data:</t>
  </si>
  <si>
    <t>ważność:</t>
  </si>
  <si>
    <t>7 dni</t>
  </si>
  <si>
    <t>inwestor:</t>
  </si>
  <si>
    <t>SZACOWANY TERMIN</t>
  </si>
  <si>
    <t>DNI ROBOCZE</t>
  </si>
  <si>
    <t>ARCHITEKT</t>
  </si>
  <si>
    <t>INWESTOR</t>
  </si>
  <si>
    <t>TAK</t>
  </si>
  <si>
    <t>NIE</t>
  </si>
  <si>
    <t>x</t>
  </si>
  <si>
    <t>SUMA DNI</t>
  </si>
  <si>
    <t>dni robocze:</t>
  </si>
  <si>
    <t>dni kalendarzowe:</t>
  </si>
  <si>
    <t>RAMY CZASOWE PROJEKTU</t>
  </si>
  <si>
    <t>rozpoczęcie prac projektowych:</t>
  </si>
  <si>
    <t>optymalne zakończenie:</t>
  </si>
  <si>
    <t>najpóźniejsze zakończenie:</t>
  </si>
  <si>
    <t>wystawił:</t>
  </si>
  <si>
    <t>architekt wnętrz</t>
  </si>
  <si>
    <t>CZYNNE</t>
  </si>
  <si>
    <t>telefon:</t>
  </si>
  <si>
    <t>123 456 789</t>
  </si>
  <si>
    <t>poniedziałek - piątek:</t>
  </si>
  <si>
    <t>10.00 - 18.00</t>
  </si>
  <si>
    <t>e-mail:</t>
  </si>
  <si>
    <t>adres@gmail.com</t>
  </si>
  <si>
    <t>sobota (tylko spotkania):</t>
  </si>
  <si>
    <t>11.00 - 14.00</t>
  </si>
  <si>
    <t>BAZA</t>
  </si>
  <si>
    <t>POMIESZCZENIA</t>
  </si>
  <si>
    <t>CZAS PRACY Z ZAZNACZONYCH ETAPÓW W OFERCIE (MINUTY)</t>
  </si>
  <si>
    <t>sień/hol wejściowy</t>
  </si>
  <si>
    <t>korytarz</t>
  </si>
  <si>
    <t>kuchnia</t>
  </si>
  <si>
    <t>jadalnia</t>
  </si>
  <si>
    <t>salon</t>
  </si>
  <si>
    <t>toaleta</t>
  </si>
  <si>
    <t>łazienka</t>
  </si>
  <si>
    <t>pralnia</t>
  </si>
  <si>
    <t>sypialnia</t>
  </si>
  <si>
    <t>garderoba</t>
  </si>
  <si>
    <t>pokój dziecięcy</t>
  </si>
  <si>
    <t>gabinet</t>
  </si>
  <si>
    <t>spiżarnia/pom. gospodarcze</t>
  </si>
  <si>
    <t>schody</t>
  </si>
  <si>
    <t>RODZAJ USŁUGI</t>
  </si>
  <si>
    <t>OPIS USŁUGI</t>
  </si>
  <si>
    <t>ETAP FUNKCJONALNY</t>
  </si>
  <si>
    <t>Inwentaryzacja</t>
  </si>
  <si>
    <t>Pomiar inwestycji i wykonanie dokumentacji fotograficznej.</t>
  </si>
  <si>
    <t>Spotkanie</t>
  </si>
  <si>
    <t>Przeprowadzenie ankiety preferencji projektowych.</t>
  </si>
  <si>
    <t>Rzut inwentaryzacyjny</t>
  </si>
  <si>
    <t>Rysunek na bazie inwentaryzacji lub rzutów deweloperskich.</t>
  </si>
  <si>
    <t>Rzuty funkcjonalne</t>
  </si>
  <si>
    <t>wariant rysunku z układem funkcjonalnym.</t>
  </si>
  <si>
    <t>warianty rysunków z układami funkcjonalnymi.</t>
  </si>
  <si>
    <t>Omówienie wariantów rzutów funkcjonalnych.</t>
  </si>
  <si>
    <t>Finalny rzut funkcjonalny</t>
  </si>
  <si>
    <t>Rysunek ostatecznej wersja układu funkcjonalnego.</t>
  </si>
  <si>
    <t>ETAP WIZUALNY</t>
  </si>
  <si>
    <t>Interaktywny Moodboard</t>
  </si>
  <si>
    <t>Plansza z zestawieniem materiałowo-produktowym.</t>
  </si>
  <si>
    <t>Wizualizacja 3D</t>
  </si>
  <si>
    <t>kadr fotorealistycznych wizualizacji.</t>
  </si>
  <si>
    <t>kadry fotorealistycznych wizualizacji.</t>
  </si>
  <si>
    <t>Wizualizacja 360</t>
  </si>
  <si>
    <t>panoramiczna wizualizacja.</t>
  </si>
  <si>
    <t>panoramiczne wizualizacje.</t>
  </si>
  <si>
    <t>Omówienie etapu wizualnego.</t>
  </si>
  <si>
    <t>ETAP TECHNICZNY</t>
  </si>
  <si>
    <t>Projekt budowlany</t>
  </si>
  <si>
    <t>Rysunek techniczny z wytycznymi do rozmieszczenia ścian działowych i zabudów gipsowo-kartonowych.</t>
  </si>
  <si>
    <t>Projekt hydrauliki</t>
  </si>
  <si>
    <t>Rysunek techniczny z wytycznymi do rozmieszczenia punktów hydraulicznych.</t>
  </si>
  <si>
    <t>Projekt wentylacji</t>
  </si>
  <si>
    <t>Rysunek techniczny z wytycznymi do punktów wentylacji i klimatyzacji.</t>
  </si>
  <si>
    <t>Projekt ogrzewania</t>
  </si>
  <si>
    <t xml:space="preserve">Rysunek techniczny z wytycznymi do rozmieszczenia grzejników i ogrzewania podłogowego. </t>
  </si>
  <si>
    <t>Projekt elektryki</t>
  </si>
  <si>
    <t>Rysunek techniczny z wytycznymi do rozmieszczenia punktów elektrycznych.</t>
  </si>
  <si>
    <t>Projekt sufitów podwieszanych</t>
  </si>
  <si>
    <t>Rysunek techniczny z wytycznymi do rozmieszczenia     sufitów podwieszanych.</t>
  </si>
  <si>
    <t>Projekt układu podłóg</t>
  </si>
  <si>
    <t>Rysunek techniczny z wytycznymi do rozmieszczenia podłóg.</t>
  </si>
  <si>
    <t>Projekt szczegółowy</t>
  </si>
  <si>
    <t xml:space="preserve">Widoki ścian/mebli: </t>
  </si>
  <si>
    <t>Objaśnienie projektu Inwestorowi lub wykonawcom prac.</t>
  </si>
  <si>
    <t>POZOSTAŁE</t>
  </si>
  <si>
    <t>Wykaz produktów</t>
  </si>
  <si>
    <t>Specyfikacja materiałowo-kolorystyczna z produktami.</t>
  </si>
  <si>
    <t>Kosztorys</t>
  </si>
  <si>
    <t>Zestawienie z szacowanymi kwotami produktowymi.</t>
  </si>
  <si>
    <t>Teczka projektowa</t>
  </si>
  <si>
    <t>Złożenie projektu w całość (zbiorczy plik pdf).</t>
  </si>
  <si>
    <t>Komunikacja projektowa</t>
  </si>
  <si>
    <t xml:space="preserve">Omawianie rozwiązań projektowych w formie rozmów telefonicznych oraz korespondencji e-mail. </t>
  </si>
  <si>
    <t>&lt;-- zasze wpisuj w minutach</t>
  </si>
  <si>
    <t>Dojazd</t>
  </si>
  <si>
    <t>Powyżej 10 km., a maksymalnie do 20 km.</t>
  </si>
  <si>
    <t>-</t>
  </si>
  <si>
    <t>RABATY</t>
  </si>
  <si>
    <t>Wizualizacje 3D uproszczone</t>
  </si>
  <si>
    <t>Bez dekoracji, dodatków, akcesoriów, roślin itp.</t>
  </si>
  <si>
    <t>PROCENTY</t>
  </si>
  <si>
    <t>Projekt on-line</t>
  </si>
  <si>
    <t>Spotkania w formie wideorozmów.</t>
  </si>
  <si>
    <t>Kompletny etap funkcjonalny</t>
  </si>
  <si>
    <t>Kompleksowy zakres opracowań funkcjonalnych.</t>
  </si>
  <si>
    <t>Kompletny etap wizualny</t>
  </si>
  <si>
    <t>Kompleksowy zakres opracowań wizualnych.</t>
  </si>
  <si>
    <t>Kompletny etap techniczny</t>
  </si>
  <si>
    <t>Kompleksowy zakres opracowań technicznych.</t>
  </si>
  <si>
    <t>Podgląd cen etapów wybranych w ofercie (oferta - dokument)</t>
  </si>
  <si>
    <t>STAWKA GODZINOWA BRUTTO (ZŁ)</t>
  </si>
  <si>
    <t>SUMA CZASU KOMUNIKACJI PROJEKTOWEJ:</t>
  </si>
  <si>
    <t>ETAP FUNKCJONALNY:</t>
  </si>
  <si>
    <t>ETAP WIZUALNY:</t>
  </si>
  <si>
    <t>SYSTEM PRACY</t>
  </si>
  <si>
    <t>ETAP TECHNICZNY:</t>
  </si>
  <si>
    <t>godzinowy (minuty)</t>
  </si>
  <si>
    <t>POZOSTAŁE:</t>
  </si>
  <si>
    <t>od zakresu (złotówki)</t>
  </si>
  <si>
    <t>RABATY:</t>
  </si>
  <si>
    <t>data</t>
  </si>
  <si>
    <t>ważność</t>
  </si>
  <si>
    <t>inwestor</t>
  </si>
  <si>
    <t>państwo Gurgielewicz</t>
  </si>
  <si>
    <t>telefon</t>
  </si>
  <si>
    <t>e-mail</t>
  </si>
  <si>
    <t>OFERTA PROJEKTOWA</t>
  </si>
  <si>
    <t>ZAKRES PROJEKTU</t>
  </si>
  <si>
    <t>OPIS</t>
  </si>
  <si>
    <t>CENA</t>
  </si>
  <si>
    <t>wiatrołap / korytarz ze schodami / kuchnia / salon z jadalnią / biuro na parterze / pokój syna na piętrze / sypialnia</t>
  </si>
  <si>
    <t>Rzut funkcjonalny</t>
  </si>
  <si>
    <t>Propozycje możliwych układów funkcjonalnych</t>
  </si>
  <si>
    <t>wiatrołap</t>
  </si>
  <si>
    <t>Projekt wizualny</t>
  </si>
  <si>
    <t>Dobór elementów wyposażenia, kolorystyki, materiałów</t>
  </si>
  <si>
    <t>Oświetlenie</t>
  </si>
  <si>
    <t>Analiza i dobór oświetlenia</t>
  </si>
  <si>
    <t>Wizyta w sklepie</t>
  </si>
  <si>
    <t>Spotkanie w sklepie/sklepach wnętrzarskich w celu przedstawienia wybranych elementów wyposażenia, płytek, okładzin, itp.</t>
  </si>
  <si>
    <t>Modelowanie 3D</t>
  </si>
  <si>
    <t>Narysowanie pełnej koncepcji 3D (modeli, szafek, blatów, armatur, oświetlenia, podłogi, listew, detalu, itp.)</t>
  </si>
  <si>
    <t>Wykonanie fotorealistycznych wizualizacji w formacie 4K</t>
  </si>
  <si>
    <t>Lista zakupowa</t>
  </si>
  <si>
    <t>Spis wszystkich materiałów wykończeniowych i elementów wyposażenia użytych w projekcie + wskazanie sklepów i WYCENY każdego materiału/ elementu wyposażenia.</t>
  </si>
  <si>
    <t>korytarz + schody + hol piętro</t>
  </si>
  <si>
    <t>Wizulizacja 3D</t>
  </si>
  <si>
    <t>Wizualizacje 3D</t>
  </si>
  <si>
    <t>salon z jadalnią</t>
  </si>
  <si>
    <t>Rysunek techniczny z wytycznymi do rozmieszczenia punktów oświetleniowych i osprzętu elektrycznego</t>
  </si>
  <si>
    <t>Bieżące konsultacje projektowe i kontakt na etapie opracowania projektu (spotkanie stacjonarnie/online, korespondencja e-mail)</t>
  </si>
  <si>
    <t>Rabat</t>
  </si>
  <si>
    <t>Konsultacja projektu łazienek wykonanych przez studio łazienek.</t>
  </si>
  <si>
    <t>WYCENA ŁĄCZNIE:</t>
  </si>
  <si>
    <t>projektant wnętrz</t>
  </si>
  <si>
    <t>UDZIELONE RABATY:</t>
  </si>
  <si>
    <t>JUSTYNA TUCHOLSKA</t>
  </si>
  <si>
    <t>WYCENA PO RABACIE:</t>
  </si>
  <si>
    <t>TUCHOLSCY PROJEKTOWANIE WNĘTRZ</t>
  </si>
  <si>
    <t>791 963 998</t>
  </si>
  <si>
    <t>8.00 - 16.00</t>
  </si>
  <si>
    <t>projektowanie@tucholscy.pl</t>
  </si>
  <si>
    <t>10.00 - 13.00</t>
  </si>
  <si>
    <t>WYKAZ OFERT</t>
  </si>
  <si>
    <t>(arkusz prowadzenia rejestru wysłanych ofert)</t>
  </si>
  <si>
    <t>LP.</t>
  </si>
  <si>
    <t>DATA</t>
  </si>
  <si>
    <t>NR OFERTY</t>
  </si>
  <si>
    <t>RODZAJ</t>
  </si>
  <si>
    <t>TELEFON</t>
  </si>
  <si>
    <t>E-MAIL</t>
  </si>
  <si>
    <t>MIASTO</t>
  </si>
  <si>
    <t>NOTATKI</t>
  </si>
  <si>
    <t>14 dni</t>
  </si>
  <si>
    <t>imię i nazwisko</t>
  </si>
  <si>
    <t>ETAPY WSPÓŁPRACY</t>
  </si>
  <si>
    <t>SPOTKANIE</t>
  </si>
  <si>
    <t>Pierwsze niezobowiązujące spotkanie, na którym przedstawiam system pracy oraz warunki przyszłej współpracy. Odpowiadam na wszelkie pytania projektowe.</t>
  </si>
  <si>
    <t>OFERTA</t>
  </si>
  <si>
    <t>Przygotowuje spersonalizowaną ofertę z zakresem usług projektowych dopasowaną do indywidualnych potrzeb.</t>
  </si>
  <si>
    <t>UMOWA</t>
  </si>
  <si>
    <t xml:space="preserve">Przed przystąpieniem do pracy, sporządzam pisemną umowę i przesyłam wraz załącznikami do wcześniejszego wglądu. </t>
  </si>
  <si>
    <t>Dokonuje dokładnych pomiarów pomieszczeń, otworów drzwiowych, okiennych oraz wszystkich istotnych elementów. Wykonuje dokumentację zdjęciową.</t>
  </si>
  <si>
    <t>ANKIETA PREFERENCJI</t>
  </si>
  <si>
    <t>Na spotkaniu przeprowadzam ankietę preferencji do projektowanych przestrzeni. Im więcej informacji otrzymam, tym bardziej dopasowany projekt powstanie.</t>
  </si>
  <si>
    <t>PROJEKT FUNKCJONALNY</t>
  </si>
  <si>
    <t xml:space="preserve">Przedstawiam propozycje rozmieszczenia funkcjonalnego (rysunek schematów). Wyrysowane zostaną przesunięcia ścian, rozkład mebli, sprzętów, podłóg, itp.
</t>
  </si>
  <si>
    <t>Omówienie układów funkcjonalnych pomieszczeń. Doradzam w kwestii wyboru finalnego rzutu funkcjonalnego. Przedstawiam zalety rozwiązań funkcjonalnych.</t>
  </si>
  <si>
    <t>FINALNY UKŁAD</t>
  </si>
  <si>
    <t>Opracowuje ostateczny układ funkcjonalny pomieszczeń w oparciu o ustalenia ze spotkania konsultacyjnego. W miarę możliwości łącze najlepsze rozwiązania.</t>
  </si>
  <si>
    <t>Należy przesłać przykładowe zdjęcia/linki z wnętrzami, meblami, kolorami, elementami, które odpowiadają pożądanej stylistyce. Im więcej tym lepiej.</t>
  </si>
  <si>
    <t>WIZYTA W SKLEPACH</t>
  </si>
  <si>
    <t>Spotkania w sklepach branżowych w celu obejrzenia i wyboru konkretnych materiałów wykończeniowych, mebli, oświetlenia, ceramiki, armatury, itp.</t>
  </si>
  <si>
    <t>WYKAZ PRODUKTÓW</t>
  </si>
  <si>
    <t>Opracowuje listę produktów oaz specyfikację materiałowo-kolorystyczną w dwóch wariantach do wyboru, na jej bazie tworzony jest moodboard.</t>
  </si>
  <si>
    <t>MOODBOARDY</t>
  </si>
  <si>
    <t>Plansze projektowe z zestawieniami materiałowo-kolorystyczne wraz z meblami oraz oświetleniem prezentujące charakter oraz stylistykę danego wnętrza.</t>
  </si>
  <si>
    <t>WIZUALIZACJE</t>
  </si>
  <si>
    <t>Przygotowuje fotorealistyczne widoki projektowanej przestrzeni, aby ukazać zamysł, kompozycję, estetykę oraz charakter wnętrza (plik jpeg).</t>
  </si>
  <si>
    <t>Omawiamy wszystkie wizualizacje na spotkaniu i omawiamy ewentualne zmiany 
w projekcie przed wykonaniem szczegółowych rysunków technicznych.</t>
  </si>
  <si>
    <t>DOKUMENTACJA</t>
  </si>
  <si>
    <t>Kreślę dokładne rysunki techniczne projektów (branżowe i szczegółowe).</t>
  </si>
  <si>
    <t>Cały projekt jest kompletowany i składany w jeden zbiorczy plik PDF.</t>
  </si>
  <si>
    <t>Kompletny projekt dokładnie omawiam z inwestorem lub podwykonawcam.</t>
  </si>
  <si>
    <t>NADZÓR AUTORSKI</t>
  </si>
  <si>
    <t xml:space="preserve">Koordynacja zgodności z projektem prac podwykonawców na inwestycji. Wdrażanie rozwiązań zamiennych wynikających z zaistniałych sytuacji remontowych. </t>
  </si>
  <si>
    <r>
      <rPr>
        <rFont val="Roboto, Arial"/>
        <b/>
        <color theme="1"/>
        <sz val="8.0"/>
      </rPr>
      <t>WYKAZY PRODUKTÓW</t>
    </r>
    <r>
      <rPr>
        <rFont val="Roboto, Arial"/>
        <color theme="1"/>
        <sz val="8.0"/>
      </rPr>
      <t xml:space="preserve">, </t>
    </r>
    <r>
      <rPr>
        <rFont val="Roboto, Arial"/>
        <b/>
        <color theme="1"/>
        <sz val="8.0"/>
      </rPr>
      <t>MOODBOARDY</t>
    </r>
    <r>
      <rPr>
        <rFont val="Roboto, Arial"/>
        <color theme="1"/>
        <sz val="8.0"/>
      </rPr>
      <t xml:space="preserve"> i </t>
    </r>
    <r>
      <rPr>
        <rFont val="Roboto, Arial"/>
        <b/>
        <color theme="1"/>
        <sz val="8.0"/>
      </rPr>
      <t>WIZUALIZACJE</t>
    </r>
    <r>
      <rPr>
        <rFont val="Roboto, Arial"/>
        <color theme="1"/>
        <sz val="8.0"/>
      </rPr>
      <t xml:space="preserve"> opracowywane są pomieszczeniami, jedno po drugim. Prace nad następnym moodboardem i wykazem produktów są rozpoczynane dopiero po wykonaniu wizualizacji aktualnego pomieszczenia i otrzymaniu </t>
    </r>
    <r>
      <rPr>
        <rFont val="Roboto, Arial"/>
        <b/>
        <color theme="1"/>
        <sz val="8.0"/>
      </rPr>
      <t>INSPIRACJI</t>
    </r>
    <r>
      <rPr>
        <rFont val="Roboto, Arial"/>
        <color theme="1"/>
        <sz val="8.0"/>
      </rPr>
      <t xml:space="preserve"> do kolejnego.                         </t>
    </r>
    <r>
      <rPr>
        <rFont val="Roboto, Arial"/>
        <b/>
        <color theme="1"/>
        <sz val="8.0"/>
      </rPr>
      <t>W zaakceptowanych i zakończonych etapach projektu nie ma możliwości dokonywania zmian w ramach danej umowy.</t>
    </r>
  </si>
  <si>
    <t>Oznaczenia:</t>
  </si>
  <si>
    <t>- Etap zawarty w projekcie</t>
  </si>
  <si>
    <t>- Etap nie zawarty w projekcie</t>
  </si>
  <si>
    <t>CENNIK USŁUG DODATKOWYCH</t>
  </si>
  <si>
    <t>OPRACOWANIA TECHNICZNE</t>
  </si>
  <si>
    <t>termin</t>
  </si>
  <si>
    <t>cena</t>
  </si>
  <si>
    <t>Projekt branżowy</t>
  </si>
  <si>
    <t>Rysunek jednego projektu: budowlanego; hydrauliki; wentylacji; ogrzewania; elektryki; sufitów podwieszanych; układu podłóg;</t>
  </si>
  <si>
    <t>4-7 dni</t>
  </si>
  <si>
    <t>300-1200 zł</t>
  </si>
  <si>
    <t>Projekt zabudowy meblowej</t>
  </si>
  <si>
    <t xml:space="preserve">Rysunek jednej wybranej zabudowy meblowej na wymiar. </t>
  </si>
  <si>
    <t>300-1000 zł</t>
  </si>
  <si>
    <t>Projekt techniczny</t>
  </si>
  <si>
    <t>Rysunek z widokami ścian jednego pomieszczenia.</t>
  </si>
  <si>
    <t>Aktualizacja rysunku</t>
  </si>
  <si>
    <t xml:space="preserve">Aktualizacja jednego rysunku technicznego/branżowego. </t>
  </si>
  <si>
    <t xml:space="preserve">3-5 dni </t>
  </si>
  <si>
    <t>150-600 zł</t>
  </si>
  <si>
    <t>Moodboard</t>
  </si>
  <si>
    <t xml:space="preserve">Zestawienie produktów z inspiracjami materiałowo-kolorystycznymi. </t>
  </si>
  <si>
    <t>3-5 dni</t>
  </si>
  <si>
    <t>100-400 zł</t>
  </si>
  <si>
    <t>Aktualizacja Moodboardu</t>
  </si>
  <si>
    <t xml:space="preserve">Aktualizacja jednego wybranego zestawienia produktowego. </t>
  </si>
  <si>
    <t>2-4 dni</t>
  </si>
  <si>
    <t>50-200 zł</t>
  </si>
  <si>
    <t>Kadr</t>
  </si>
  <si>
    <t>Jeden dodatkowy kadr z wykonanej wizualizacji.</t>
  </si>
  <si>
    <t xml:space="preserve">do 3 dni*
</t>
  </si>
  <si>
    <t>50 zł</t>
  </si>
  <si>
    <t>Aktualizacja</t>
  </si>
  <si>
    <t>Korekta do estetyki wnętrza w wykonanej wizualizacji.</t>
  </si>
  <si>
    <t xml:space="preserve">4-5 dni
</t>
  </si>
  <si>
    <t>100-300 zł</t>
  </si>
  <si>
    <t>Nowa wersja</t>
  </si>
  <si>
    <t>Wykonanie kolejnej wersji wizualizacji pomieszczenia.</t>
  </si>
  <si>
    <t xml:space="preserve">7-10 dni
</t>
  </si>
  <si>
    <t>500-1000 zł</t>
  </si>
  <si>
    <t>Panorama 360</t>
  </si>
  <si>
    <t>Jeden przestrzenny widok 360 w formie wirtualnego 
spaceru z istniejącej wizualizacji.</t>
  </si>
  <si>
    <t>200 zł</t>
  </si>
  <si>
    <t xml:space="preserve">  Do aktualizacji i nowej wersji wizualizacji należy dobrać wymaganą ilość kadrów.
*Dobranie kilku kadrów (z jednego pomieszczenia) wydłuża termin wykonania o 1 kolejny dzień za każdy dodatkowy kadr.</t>
  </si>
  <si>
    <t>SPOTKANIA I KOMUNIKACJA</t>
  </si>
  <si>
    <t>Spotkanie osobiste</t>
  </si>
  <si>
    <t xml:space="preserve">Spotkanie w wyznaczonej przez inwestora lokalizacji. </t>
  </si>
  <si>
    <t>250 zł/h</t>
  </si>
  <si>
    <t>Spotknie on-line</t>
  </si>
  <si>
    <t xml:space="preserve">Spotkanie w formie wideokonferencji. </t>
  </si>
  <si>
    <t>150 zł/h</t>
  </si>
  <si>
    <t>Rozmowa telefoniczna</t>
  </si>
  <si>
    <t>Omówienie projektu w postaci rozmowy telefonicznej.</t>
  </si>
  <si>
    <t>100 zł/h</t>
  </si>
  <si>
    <t>Korespondencja e-mail</t>
  </si>
  <si>
    <t>Omówienie projektu w postaci korespondencji e-mail.</t>
  </si>
  <si>
    <t xml:space="preserve">Spotkanie w sklepach </t>
  </si>
  <si>
    <t>Zakupy w asyście architekta w sklepach i showroomach branżowych.</t>
  </si>
  <si>
    <t>Szkolenie</t>
  </si>
  <si>
    <t>Szkolenie branżowe przygotowywane z wybranego zakresu.</t>
  </si>
  <si>
    <t>500 zł/h</t>
  </si>
  <si>
    <t>Nadzór autorski</t>
  </si>
  <si>
    <t>Wizyta koordynacyjna w miejscu wdrażania inwestycji.</t>
  </si>
  <si>
    <t>300 zł/h</t>
  </si>
  <si>
    <t>Nadzór autorski zdalny</t>
  </si>
  <si>
    <t>Praca biurowa zdalna przy nadzorze autorskim.</t>
  </si>
  <si>
    <t>Pakiet nadzoru</t>
  </si>
  <si>
    <t>Cztery godzinne spotkania koordynacyjne w czasie trwania robót 
wykończeniowych na inwestycji. Do wykorzystania w ciągu 30 dni.</t>
  </si>
  <si>
    <t>1 100 zł</t>
  </si>
  <si>
    <t xml:space="preserve">Podane ceny spotkań są naliczane za każdą rozpoczętą godzinę.
Spotkania należy umawiać z co najmniej 3 dniowym wyprzedzeniem.
</t>
  </si>
  <si>
    <t>Wszystkie terminy podane w dniach roboczych.
Usługi dodatkowe wykupione podczas trwania bieżącej umowy wydłużają termin jej ukończenia o w/w czas.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</si>
</sst>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.&quot;mm&quot;.&quot;yyyy&quot; r.&quot;"/>
    <numFmt numFmtId="165" formatCode="dd&quot;.&quot;mm&quot;.&quot;yy"/>
    <numFmt numFmtId="166" formatCode="0.0"/>
    <numFmt numFmtId="167" formatCode="dd&quot;.&quot;mm&quot;.&quot;yy&quot; r.&quot;"/>
    <numFmt numFmtId="168" formatCode="h&quot;:&quot;mm"/>
    <numFmt numFmtId="169" formatCode="h&quot;:&quot;m"/>
    <numFmt numFmtId="170" formatCode="#,##0\ [$zł-415]"/>
    <numFmt numFmtId="171" formatCode="#,##0&quot;zł&quot;"/>
  </numFmts>
  <fonts count="37">
    <font>
      <sz val="10.0"/>
      <color rgb="FF000000"/>
      <name val="Arial"/>
      <scheme val="minor"/>
    </font>
    <font>
      <color theme="1"/>
      <name val="Arial"/>
    </font>
    <font>
      <sz val="16.0"/>
      <color theme="1"/>
      <name val="Roboto"/>
    </font>
    <font>
      <b/>
      <color theme="1"/>
      <name val="Roboto"/>
    </font>
    <font/>
    <font>
      <color theme="1"/>
      <name val="Roboto"/>
    </font>
    <font>
      <b/>
      <sz val="9.0"/>
      <color theme="1"/>
      <name val="Roboto"/>
    </font>
    <font>
      <sz val="10.0"/>
      <color rgb="FFCCCCCC"/>
      <name val="Roboto"/>
    </font>
    <font>
      <color rgb="FFCCCCCC"/>
      <name val="Roboto"/>
    </font>
    <font>
      <b/>
      <sz val="12.0"/>
      <color theme="1"/>
      <name val="Roboto"/>
    </font>
    <font>
      <b/>
      <sz val="8.0"/>
      <color rgb="FF9ACAE0"/>
      <name val="Roboto"/>
    </font>
    <font>
      <sz val="8.0"/>
      <color theme="1"/>
      <name val="Arial"/>
    </font>
    <font>
      <b/>
      <sz val="8.0"/>
      <color rgb="FFEBD564"/>
      <name val="Roboto"/>
    </font>
    <font>
      <sz val="8.0"/>
      <color theme="1"/>
      <name val="Roboto"/>
    </font>
    <font>
      <sz val="10.0"/>
      <color theme="1"/>
      <name val="Roboto"/>
    </font>
    <font>
      <b/>
      <sz val="10.0"/>
      <color theme="1"/>
      <name val="Roboto"/>
    </font>
    <font>
      <color rgb="FF999999"/>
      <name val="Roboto"/>
    </font>
    <font>
      <sz val="9.0"/>
      <color rgb="FF000000"/>
      <name val="Roboto"/>
    </font>
    <font>
      <sz val="9.0"/>
      <color theme="1"/>
      <name val="Roboto"/>
    </font>
    <font>
      <sz val="10.0"/>
      <color rgb="FFD9D9D9"/>
      <name val="Roboto"/>
    </font>
    <font>
      <sz val="10.0"/>
      <color rgb="FF9ACAE0"/>
      <name val="Roboto"/>
    </font>
    <font>
      <b/>
      <sz val="8.0"/>
      <color theme="1"/>
      <name val="Roboto"/>
    </font>
    <font>
      <b/>
      <sz val="10.0"/>
      <color rgb="FF000000"/>
      <name val="Roboto"/>
    </font>
    <font>
      <sz val="10.0"/>
      <color theme="0"/>
      <name val="Roboto"/>
    </font>
    <font>
      <sz val="10.0"/>
      <color rgb="FFBDBDBD"/>
      <name val="Roboto"/>
    </font>
    <font>
      <sz val="10.0"/>
      <color rgb="FF000000"/>
      <name val="Roboto"/>
    </font>
    <font>
      <sz val="10.0"/>
      <color rgb="FFEBD564"/>
      <name val="Roboto"/>
    </font>
    <font>
      <sz val="10.0"/>
      <color rgb="FF666666"/>
      <name val="Roboto"/>
    </font>
    <font>
      <color rgb="FFD9D9D9"/>
      <name val="Roboto"/>
    </font>
    <font>
      <b/>
      <color rgb="FFD9D9D9"/>
      <name val="Roboto"/>
    </font>
    <font>
      <b/>
      <sz val="10.0"/>
      <color rgb="FFFFFFFF"/>
      <name val="Roboto"/>
    </font>
    <font>
      <color rgb="FF9ACAE0"/>
      <name val="Roboto"/>
    </font>
    <font>
      <b/>
      <sz val="8.0"/>
      <color rgb="FFBDBDBD"/>
      <name val="Roboto"/>
    </font>
    <font>
      <b/>
      <sz val="16.0"/>
      <color theme="1"/>
      <name val="Roboto"/>
    </font>
    <font>
      <sz val="5.0"/>
      <color theme="1"/>
      <name val="Arial"/>
    </font>
    <font>
      <sz val="9.0"/>
      <color theme="1"/>
      <name val="Arial"/>
    </font>
    <font>
      <b/>
      <sz val="9.0"/>
      <color rgb="FF9ACAE0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9ACAE0"/>
        <bgColor rgb="FF9ACAE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</fills>
  <borders count="10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9ACAE0"/>
      </left>
      <bottom style="thin">
        <color rgb="FF9ACAE0"/>
      </bottom>
    </border>
    <border>
      <bottom style="thin">
        <color rgb="FF9ACAE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9ACAE0"/>
      </right>
      <bottom style="thin">
        <color rgb="FF9ACAE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medium">
        <color rgb="FF9ACAE0"/>
      </bottom>
    </border>
    <border>
      <right style="medium">
        <color rgb="FF9ACAE0"/>
      </right>
      <bottom style="medium">
        <color rgb="FF9ACAE0"/>
      </bottom>
    </border>
    <border>
      <left style="thin">
        <color rgb="FF9ACAE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BDBDBD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BDBDBD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9ACAE0"/>
      </left>
      <right style="medium">
        <color rgb="FF9ACAE0"/>
      </right>
      <bottom style="medium">
        <color rgb="FF9ACAE0"/>
      </bottom>
    </border>
    <border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4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horizontal="center" textRotation="90" vertical="center"/>
    </xf>
    <xf borderId="2" fillId="2" fontId="3" numFmtId="0" xfId="0" applyAlignment="1" applyBorder="1" applyFont="1">
      <alignment horizontal="center" shrinkToFit="0" textRotation="90" vertical="center" wrapText="1"/>
    </xf>
    <xf borderId="3" fillId="0" fontId="4" numFmtId="0" xfId="0" applyBorder="1" applyFont="1"/>
    <xf borderId="4" fillId="0" fontId="4" numFmtId="0" xfId="0" applyBorder="1" applyFont="1"/>
    <xf borderId="1" fillId="2" fontId="3" numFmtId="0" xfId="0" applyAlignment="1" applyBorder="1" applyFont="1">
      <alignment horizontal="center" shrinkToFit="0" textRotation="90" vertical="center" wrapText="1"/>
    </xf>
    <xf borderId="2" fillId="2" fontId="3" numFmtId="0" xfId="0" applyAlignment="1" applyBorder="1" applyFont="1">
      <alignment horizontal="center" textRotation="90" vertical="center"/>
    </xf>
    <xf borderId="5" fillId="0" fontId="5" numFmtId="0" xfId="0" applyAlignment="1" applyBorder="1" applyFont="1">
      <alignment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5" fillId="0" fontId="3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3" numFmtId="0" xfId="0" applyAlignment="1" applyFont="1">
      <alignment vertical="center"/>
    </xf>
    <xf borderId="14" fillId="3" fontId="3" numFmtId="0" xfId="0" applyAlignment="1" applyBorder="1" applyFill="1" applyFont="1">
      <alignment horizontal="center" vertical="center"/>
    </xf>
    <xf borderId="15" fillId="3" fontId="3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6" fillId="3" fontId="3" numFmtId="0" xfId="0" applyAlignment="1" applyBorder="1" applyFont="1">
      <alignment horizontal="center" shrinkToFit="0" vertical="center" wrapText="1"/>
    </xf>
    <xf borderId="16" fillId="3" fontId="3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ont="1">
      <alignment vertical="center"/>
    </xf>
    <xf borderId="19" fillId="0" fontId="4" numFmtId="0" xfId="0" applyBorder="1" applyFont="1"/>
    <xf borderId="20" fillId="0" fontId="4" numFmtId="0" xfId="0" applyBorder="1" applyFont="1"/>
    <xf borderId="21" fillId="4" fontId="3" numFmtId="0" xfId="0" applyAlignment="1" applyBorder="1" applyFill="1" applyFont="1">
      <alignment horizontal="center" textRotation="90" vertical="center"/>
    </xf>
    <xf borderId="15" fillId="4" fontId="5" numFmtId="0" xfId="0" applyAlignment="1" applyBorder="1" applyFont="1">
      <alignment vertical="center"/>
    </xf>
    <xf borderId="15" fillId="0" fontId="4" numFmtId="0" xfId="0" applyBorder="1" applyFont="1"/>
    <xf borderId="17" fillId="0" fontId="4" numFmtId="0" xfId="0" applyBorder="1" applyFont="1"/>
    <xf borderId="21" fillId="0" fontId="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21" fillId="0" fontId="4" numFmtId="0" xfId="0" applyBorder="1" applyFont="1"/>
    <xf borderId="15" fillId="5" fontId="5" numFmtId="0" xfId="0" applyAlignment="1" applyBorder="1" applyFill="1" applyFont="1">
      <alignment vertical="center"/>
    </xf>
    <xf borderId="21" fillId="6" fontId="5" numFmtId="0" xfId="0" applyAlignment="1" applyBorder="1" applyFill="1" applyFont="1">
      <alignment horizontal="center" vertical="center"/>
    </xf>
    <xf borderId="22" fillId="6" fontId="5" numFmtId="0" xfId="0" applyAlignment="1" applyBorder="1" applyFont="1">
      <alignment horizontal="center" vertical="center"/>
    </xf>
    <xf borderId="16" fillId="5" fontId="5" numFmtId="0" xfId="0" applyAlignment="1" applyBorder="1" applyFont="1">
      <alignment horizontal="center" vertical="center"/>
    </xf>
    <xf borderId="16" fillId="5" fontId="1" numFmtId="0" xfId="0" applyAlignment="1" applyBorder="1" applyFont="1">
      <alignment horizontal="center" vertical="center"/>
    </xf>
    <xf borderId="17" fillId="5" fontId="5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5" fillId="0" fontId="5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7" fillId="5" fontId="1" numFmtId="0" xfId="0" applyAlignment="1" applyBorder="1" applyFont="1">
      <alignment vertical="center"/>
    </xf>
    <xf borderId="17" fillId="5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0" fillId="4" fontId="1" numFmtId="0" xfId="0" applyAlignment="1" applyFont="1">
      <alignment vertical="center"/>
    </xf>
    <xf borderId="23" fillId="0" fontId="4" numFmtId="0" xfId="0" applyBorder="1" applyFont="1"/>
    <xf borderId="12" fillId="5" fontId="5" numFmtId="0" xfId="0" applyAlignment="1" applyBorder="1" applyFont="1">
      <alignment vertical="center"/>
    </xf>
    <xf borderId="23" fillId="6" fontId="5" numFmtId="0" xfId="0" applyAlignment="1" applyBorder="1" applyFont="1">
      <alignment horizontal="center" vertical="center"/>
    </xf>
    <xf borderId="24" fillId="6" fontId="5" numFmtId="0" xfId="0" applyAlignment="1" applyBorder="1" applyFont="1">
      <alignment horizontal="center" vertical="center"/>
    </xf>
    <xf borderId="24" fillId="5" fontId="5" numFmtId="0" xfId="0" applyAlignment="1" applyBorder="1" applyFont="1">
      <alignment horizontal="center" vertical="center"/>
    </xf>
    <xf borderId="13" fillId="5" fontId="5" numFmtId="0" xfId="0" applyAlignment="1" applyBorder="1" applyFont="1">
      <alignment horizontal="center" vertical="center"/>
    </xf>
    <xf borderId="0" fillId="0" fontId="1" numFmtId="0" xfId="0" applyAlignment="1" applyFont="1">
      <alignment vertical="top"/>
    </xf>
    <xf borderId="6" fillId="0" fontId="5" numFmtId="0" xfId="0" applyAlignment="1" applyBorder="1" applyFont="1">
      <alignment vertical="bottom"/>
    </xf>
    <xf borderId="6" fillId="0" fontId="3" numFmtId="164" xfId="0" applyAlignment="1" applyBorder="1" applyFont="1" applyNumberFormat="1">
      <alignment horizontal="right" vertical="bottom"/>
    </xf>
    <xf borderId="25" fillId="0" fontId="4" numFmtId="0" xfId="0" applyBorder="1" applyFont="1"/>
    <xf borderId="0" fillId="0" fontId="1" numFmtId="165" xfId="0" applyAlignment="1" applyFont="1" applyNumberFormat="1">
      <alignment vertical="bottom"/>
    </xf>
    <xf borderId="6" fillId="0" fontId="5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vertical="bottom"/>
    </xf>
    <xf borderId="25" fillId="0" fontId="3" numFmtId="0" xfId="0" applyAlignment="1" applyBorder="1" applyFont="1">
      <alignment horizontal="right" shrinkToFit="0" vertical="bottom" wrapText="0"/>
    </xf>
    <xf borderId="6" fillId="0" fontId="5" numFmtId="0" xfId="0" applyAlignment="1" applyBorder="1" applyFont="1">
      <alignment horizontal="right" shrinkToFit="0" vertical="bottom" wrapText="0"/>
    </xf>
    <xf borderId="6" fillId="0" fontId="1" numFmtId="0" xfId="0" applyAlignment="1" applyBorder="1" applyFont="1">
      <alignment horizontal="right"/>
    </xf>
    <xf borderId="0" fillId="0" fontId="2" numFmtId="0" xfId="0" applyAlignment="1" applyFont="1">
      <alignment horizontal="center" vertical="center"/>
    </xf>
    <xf borderId="22" fillId="0" fontId="1" numFmtId="0" xfId="0" applyBorder="1" applyFont="1"/>
    <xf borderId="26" fillId="2" fontId="6" numFmtId="0" xfId="0" applyAlignment="1" applyBorder="1" applyFont="1">
      <alignment horizontal="center" vertical="center"/>
    </xf>
    <xf borderId="27" fillId="0" fontId="4" numFmtId="0" xfId="0" applyBorder="1" applyFont="1"/>
    <xf borderId="28" fillId="0" fontId="4" numFmtId="0" xfId="0" applyBorder="1" applyFont="1"/>
    <xf borderId="29" fillId="2" fontId="6" numFmtId="0" xfId="0" applyAlignment="1" applyBorder="1" applyFont="1">
      <alignment horizontal="center" shrinkToFit="0" textRotation="90" vertical="center" wrapText="1"/>
    </xf>
    <xf borderId="26" fillId="2" fontId="6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22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29" fillId="2" fontId="6" numFmtId="0" xfId="0" applyAlignment="1" applyBorder="1" applyFont="1">
      <alignment horizontal="center" shrinkToFit="0" vertical="center" wrapText="1"/>
    </xf>
    <xf borderId="33" fillId="0" fontId="4" numFmtId="0" xfId="0" applyBorder="1" applyFont="1"/>
    <xf borderId="15" fillId="4" fontId="1" numFmtId="0" xfId="0" applyAlignment="1" applyBorder="1" applyFont="1">
      <alignment vertical="center"/>
    </xf>
    <xf borderId="16" fillId="4" fontId="1" numFmtId="0" xfId="0" applyAlignment="1" applyBorder="1" applyFont="1">
      <alignment vertical="center"/>
    </xf>
    <xf borderId="29" fillId="4" fontId="7" numFmtId="0" xfId="0" applyAlignment="1" applyBorder="1" applyFont="1">
      <alignment horizontal="center" vertical="center"/>
    </xf>
    <xf borderId="34" fillId="4" fontId="7" numFmtId="0" xfId="0" applyAlignment="1" applyBorder="1" applyFont="1">
      <alignment horizontal="center" vertical="center"/>
    </xf>
    <xf borderId="15" fillId="4" fontId="5" numFmtId="0" xfId="0" applyAlignment="1" applyBorder="1" applyFont="1">
      <alignment horizontal="center" vertical="center"/>
    </xf>
    <xf borderId="16" fillId="4" fontId="5" numFmtId="0" xfId="0" applyAlignment="1" applyBorder="1" applyFont="1">
      <alignment horizontal="center" vertical="center"/>
    </xf>
    <xf borderId="16" fillId="6" fontId="5" numFmtId="0" xfId="0" applyAlignment="1" applyBorder="1" applyFont="1">
      <alignment vertical="center"/>
    </xf>
    <xf borderId="15" fillId="6" fontId="5" numFmtId="0" xfId="0" applyAlignment="1" applyBorder="1" applyFont="1">
      <alignment horizontal="right" vertical="center"/>
    </xf>
    <xf borderId="15" fillId="6" fontId="5" numFmtId="0" xfId="0" applyAlignment="1" applyBorder="1" applyFont="1">
      <alignment horizontal="left" vertical="center"/>
    </xf>
    <xf borderId="26" fillId="6" fontId="1" numFmtId="0" xfId="0" applyAlignment="1" applyBorder="1" applyFont="1">
      <alignment horizontal="left" vertical="center"/>
    </xf>
    <xf borderId="27" fillId="6" fontId="1" numFmtId="0" xfId="0" applyAlignment="1" applyBorder="1" applyFont="1">
      <alignment vertical="center"/>
    </xf>
    <xf borderId="28" fillId="6" fontId="1" numFmtId="0" xfId="0" applyAlignment="1" applyBorder="1" applyFont="1">
      <alignment vertical="center"/>
    </xf>
    <xf borderId="35" fillId="6" fontId="7" numFmtId="0" xfId="0" applyAlignment="1" applyBorder="1" applyFont="1">
      <alignment horizontal="center" vertical="center"/>
    </xf>
    <xf borderId="34" fillId="6" fontId="7" numFmtId="0" xfId="0" applyAlignment="1" applyBorder="1" applyFont="1">
      <alignment horizontal="center" vertical="center"/>
    </xf>
    <xf borderId="36" fillId="6" fontId="7" numFmtId="0" xfId="0" applyAlignment="1" applyBorder="1" applyFont="1">
      <alignment horizontal="center" vertical="center"/>
    </xf>
    <xf borderId="26" fillId="6" fontId="1" numFmtId="0" xfId="0" applyAlignment="1" applyBorder="1" applyFont="1">
      <alignment vertical="center"/>
    </xf>
    <xf borderId="29" fillId="6" fontId="1" numFmtId="0" xfId="0" applyAlignment="1" applyBorder="1" applyFont="1">
      <alignment vertical="center"/>
    </xf>
    <xf borderId="15" fillId="6" fontId="5" numFmtId="0" xfId="0" applyAlignment="1" applyBorder="1" applyFont="1">
      <alignment horizontal="center" vertical="center"/>
    </xf>
    <xf borderId="16" fillId="6" fontId="5" numFmtId="0" xfId="0" applyAlignment="1" applyBorder="1" applyFont="1">
      <alignment horizontal="center" vertical="center"/>
    </xf>
    <xf borderId="16" fillId="4" fontId="5" numFmtId="0" xfId="0" applyAlignment="1" applyBorder="1" applyFont="1">
      <alignment vertical="center"/>
    </xf>
    <xf borderId="15" fillId="0" fontId="5" numFmtId="0" xfId="0" applyAlignment="1" applyBorder="1" applyFont="1">
      <alignment horizontal="right" vertical="center"/>
    </xf>
    <xf borderId="15" fillId="0" fontId="5" numFmtId="0" xfId="0" applyAlignment="1" applyBorder="1" applyFont="1">
      <alignment horizontal="left" vertical="center"/>
    </xf>
    <xf borderId="30" fillId="0" fontId="1" numFmtId="0" xfId="0" applyAlignment="1" applyBorder="1" applyFont="1">
      <alignment horizontal="left" vertical="center"/>
    </xf>
    <xf borderId="22" fillId="0" fontId="1" numFmtId="0" xfId="0" applyAlignment="1" applyBorder="1" applyFont="1">
      <alignment vertical="center"/>
    </xf>
    <xf borderId="35" fillId="4" fontId="7" numFmtId="0" xfId="0" applyAlignment="1" applyBorder="1" applyFont="1">
      <alignment horizontal="center" vertical="center"/>
    </xf>
    <xf borderId="36" fillId="4" fontId="7" numFmtId="0" xfId="0" applyAlignment="1" applyBorder="1" applyFont="1">
      <alignment horizontal="center" vertical="center"/>
    </xf>
    <xf borderId="30" fillId="0" fontId="1" numFmtId="0" xfId="0" applyAlignment="1" applyBorder="1" applyFont="1">
      <alignment vertical="center"/>
    </xf>
    <xf borderId="31" fillId="0" fontId="1" numFmtId="0" xfId="0" applyAlignment="1" applyBorder="1" applyFont="1">
      <alignment vertical="center"/>
    </xf>
    <xf borderId="15" fillId="0" fontId="5" numFmtId="0" xfId="0" applyAlignment="1" applyBorder="1" applyFont="1">
      <alignment horizontal="center" vertical="center"/>
    </xf>
    <xf borderId="30" fillId="6" fontId="1" numFmtId="0" xfId="0" applyAlignment="1" applyBorder="1" applyFont="1">
      <alignment horizontal="left" vertical="center"/>
    </xf>
    <xf borderId="0" fillId="6" fontId="1" numFmtId="0" xfId="0" applyAlignment="1" applyFont="1">
      <alignment vertical="center"/>
    </xf>
    <xf borderId="22" fillId="6" fontId="1" numFmtId="0" xfId="0" applyAlignment="1" applyBorder="1" applyFont="1">
      <alignment vertical="center"/>
    </xf>
    <xf borderId="30" fillId="6" fontId="1" numFmtId="0" xfId="0" applyAlignment="1" applyBorder="1" applyFont="1">
      <alignment vertical="center"/>
    </xf>
    <xf borderId="31" fillId="6" fontId="1" numFmtId="0" xfId="0" applyAlignment="1" applyBorder="1" applyFont="1">
      <alignment vertical="center"/>
    </xf>
    <xf borderId="34" fillId="6" fontId="5" numFmtId="0" xfId="0" applyAlignment="1" applyBorder="1" applyFont="1">
      <alignment vertical="center"/>
    </xf>
    <xf borderId="32" fillId="6" fontId="1" numFmtId="0" xfId="0" applyAlignment="1" applyBorder="1" applyFont="1">
      <alignment vertical="center"/>
    </xf>
    <xf borderId="15" fillId="6" fontId="1" numFmtId="0" xfId="0" applyAlignment="1" applyBorder="1" applyFont="1">
      <alignment vertical="center"/>
    </xf>
    <xf borderId="16" fillId="6" fontId="1" numFmtId="0" xfId="0" applyAlignment="1" applyBorder="1" applyFont="1">
      <alignment vertical="center"/>
    </xf>
    <xf borderId="33" fillId="6" fontId="1" numFmtId="0" xfId="0" applyAlignment="1" applyBorder="1" applyFont="1">
      <alignment vertical="center"/>
    </xf>
    <xf borderId="0" fillId="0" fontId="1" numFmtId="166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5" fillId="0" fontId="8" numFmtId="0" xfId="0" applyAlignment="1" applyBorder="1" applyFont="1">
      <alignment horizontal="center" vertical="bottom"/>
    </xf>
    <xf borderId="6" fillId="0" fontId="1" numFmtId="0" xfId="0" applyBorder="1" applyFont="1"/>
    <xf borderId="6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right" vertical="center"/>
    </xf>
    <xf borderId="6" fillId="0" fontId="5" numFmtId="0" xfId="0" applyAlignment="1" applyBorder="1" applyFont="1">
      <alignment horizontal="right" shrinkToFit="0" vertical="center" wrapText="0"/>
    </xf>
    <xf borderId="6" fillId="0" fontId="5" numFmtId="1" xfId="0" applyAlignment="1" applyBorder="1" applyFont="1" applyNumberFormat="1">
      <alignment horizontal="center" vertical="center"/>
    </xf>
    <xf borderId="25" fillId="0" fontId="5" numFmtId="1" xfId="0" applyAlignment="1" applyBorder="1" applyFont="1" applyNumberFormat="1">
      <alignment horizontal="center" vertical="center"/>
    </xf>
    <xf borderId="0" fillId="0" fontId="1" numFmtId="1" xfId="0" applyFont="1" applyNumberFormat="1"/>
    <xf borderId="0" fillId="0" fontId="1" numFmtId="0" xfId="0" applyAlignment="1" applyFont="1">
      <alignment horizontal="right" vertical="center"/>
    </xf>
    <xf borderId="0" fillId="0" fontId="1" numFmtId="1" xfId="0" applyAlignment="1" applyFont="1" applyNumberFormat="1">
      <alignment vertical="center"/>
    </xf>
    <xf borderId="15" fillId="0" fontId="1" numFmtId="166" xfId="0" applyAlignment="1" applyBorder="1" applyFont="1" applyNumberFormat="1">
      <alignment vertical="bottom"/>
    </xf>
    <xf borderId="0" fillId="0" fontId="1" numFmtId="166" xfId="0" applyFont="1" applyNumberFormat="1"/>
    <xf borderId="37" fillId="0" fontId="5" numFmtId="0" xfId="0" applyAlignment="1" applyBorder="1" applyFont="1">
      <alignment horizontal="right"/>
    </xf>
    <xf borderId="37" fillId="0" fontId="4" numFmtId="0" xfId="0" applyBorder="1" applyFont="1"/>
    <xf borderId="37" fillId="0" fontId="3" numFmtId="167" xfId="0" applyAlignment="1" applyBorder="1" applyFont="1" applyNumberFormat="1">
      <alignment horizontal="center"/>
    </xf>
    <xf borderId="38" fillId="0" fontId="4" numFmtId="0" xfId="0" applyBorder="1" applyFont="1"/>
    <xf borderId="0" fillId="0" fontId="1" numFmtId="167" xfId="0" applyFont="1" applyNumberFormat="1"/>
    <xf borderId="37" fillId="0" fontId="5" numFmtId="167" xfId="0" applyAlignment="1" applyBorder="1" applyFont="1" applyNumberFormat="1">
      <alignment horizontal="center"/>
    </xf>
    <xf borderId="39" fillId="0" fontId="5" numFmtId="0" xfId="0" applyAlignment="1" applyBorder="1" applyFont="1">
      <alignment vertical="bottom"/>
    </xf>
    <xf borderId="39" fillId="0" fontId="9" numFmtId="0" xfId="0" applyAlignment="1" applyBorder="1" applyFont="1">
      <alignment vertical="bottom"/>
    </xf>
    <xf borderId="5" fillId="0" fontId="4" numFmtId="0" xfId="0" applyBorder="1" applyFont="1"/>
    <xf borderId="15" fillId="0" fontId="1" numFmtId="0" xfId="0" applyAlignment="1" applyBorder="1" applyFont="1">
      <alignment vertical="bottom"/>
    </xf>
    <xf borderId="15" fillId="0" fontId="1" numFmtId="0" xfId="0" applyBorder="1" applyFont="1"/>
    <xf borderId="27" fillId="0" fontId="10" numFmtId="0" xfId="0" applyAlignment="1" applyBorder="1" applyFont="1">
      <alignment shrinkToFit="0" vertical="bottom" wrapText="0"/>
    </xf>
    <xf borderId="27" fillId="0" fontId="11" numFmtId="0" xfId="0" applyAlignment="1" applyBorder="1" applyFont="1">
      <alignment vertical="bottom"/>
    </xf>
    <xf borderId="0" fillId="0" fontId="11" numFmtId="0" xfId="0" applyFont="1"/>
    <xf borderId="0" fillId="0" fontId="12" numFmtId="0" xfId="0" applyAlignment="1" applyFont="1">
      <alignment horizontal="center" vertical="bottom"/>
    </xf>
    <xf borderId="27" fillId="4" fontId="10" numFmtId="0" xfId="0" applyAlignment="1" applyBorder="1" applyFont="1">
      <alignment horizontal="right" shrinkToFit="0" vertical="bottom" wrapText="0"/>
    </xf>
    <xf borderId="0" fillId="0" fontId="13" numFmtId="0" xfId="0" applyAlignment="1" applyFont="1">
      <alignment horizontal="left" vertical="bottom"/>
    </xf>
    <xf borderId="0" fillId="0" fontId="11" numFmtId="0" xfId="0" applyAlignment="1" applyFont="1">
      <alignment vertical="bottom"/>
    </xf>
    <xf borderId="0" fillId="0" fontId="13" numFmtId="0" xfId="0" applyAlignment="1" applyFon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0" fillId="0" fontId="13" numFmtId="166" xfId="0" applyAlignment="1" applyFont="1" applyNumberFormat="1">
      <alignment horizontal="left" vertical="bottom"/>
    </xf>
    <xf borderId="0" fillId="0" fontId="11" numFmtId="166" xfId="0" applyAlignment="1" applyFont="1" applyNumberFormat="1">
      <alignment vertical="bottom"/>
    </xf>
    <xf borderId="0" fillId="0" fontId="13" numFmtId="166" xfId="0" applyAlignment="1" applyFont="1" applyNumberFormat="1">
      <alignment horizontal="right" shrinkToFit="0" vertical="bottom" wrapText="0"/>
    </xf>
    <xf borderId="0" fillId="0" fontId="13" numFmtId="166" xfId="0" applyAlignment="1" applyFont="1" applyNumberFormat="1">
      <alignment shrinkToFit="0" vertical="bottom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5" numFmtId="0" xfId="0" applyFont="1"/>
    <xf borderId="9" fillId="0" fontId="15" numFmtId="0" xfId="0" applyAlignment="1" applyBorder="1" applyFont="1">
      <alignment horizontal="center" shrinkToFit="0" textRotation="90" vertical="center" wrapText="1"/>
    </xf>
    <xf borderId="4" fillId="2" fontId="15" numFmtId="0" xfId="0" applyAlignment="1" applyBorder="1" applyFont="1">
      <alignment horizontal="center" shrinkToFit="0" textRotation="90" vertical="center" wrapText="1"/>
    </xf>
    <xf borderId="40" fillId="2" fontId="15" numFmtId="0" xfId="0" applyAlignment="1" applyBorder="1" applyFont="1">
      <alignment horizontal="center" shrinkToFit="0" vertical="center" wrapText="1"/>
    </xf>
    <xf borderId="41" fillId="0" fontId="4" numFmtId="0" xfId="0" applyBorder="1" applyFont="1"/>
    <xf borderId="42" fillId="0" fontId="4" numFmtId="0" xfId="0" applyBorder="1" applyFont="1"/>
    <xf borderId="1" fillId="2" fontId="15" numFmtId="0" xfId="0" applyAlignment="1" applyBorder="1" applyFont="1">
      <alignment horizontal="center" shrinkToFit="0" textRotation="90" vertical="center" wrapText="1"/>
    </xf>
    <xf borderId="5" fillId="0" fontId="3" numFmtId="0" xfId="0" applyBorder="1" applyFont="1"/>
    <xf borderId="6" fillId="0" fontId="5" numFmtId="0" xfId="0" applyBorder="1" applyFont="1"/>
    <xf borderId="0" fillId="0" fontId="15" numFmtId="0" xfId="0" applyAlignment="1" applyFont="1">
      <alignment horizontal="center" shrinkToFit="0" vertical="center" wrapText="1"/>
    </xf>
    <xf borderId="43" fillId="2" fontId="15" numFmtId="0" xfId="0" applyAlignment="1" applyBorder="1" applyFont="1">
      <alignment horizontal="center" shrinkToFit="0" vertical="center" wrapText="1"/>
    </xf>
    <xf borderId="0" fillId="0" fontId="16" numFmtId="0" xfId="0" applyFont="1"/>
    <xf borderId="44" fillId="7" fontId="15" numFmtId="0" xfId="0" applyAlignment="1" applyBorder="1" applyFill="1" applyFont="1">
      <alignment horizontal="center" vertical="center"/>
    </xf>
    <xf borderId="7" fillId="2" fontId="15" numFmtId="0" xfId="0" applyAlignment="1" applyBorder="1" applyFont="1">
      <alignment horizontal="center" shrinkToFit="0" textRotation="90" vertical="center" wrapText="1"/>
    </xf>
    <xf borderId="18" fillId="7" fontId="15" numFmtId="0" xfId="0" applyAlignment="1" applyBorder="1" applyFont="1">
      <alignment horizontal="center" vertical="center"/>
    </xf>
    <xf borderId="19" fillId="7" fontId="15" numFmtId="0" xfId="0" applyAlignment="1" applyBorder="1" applyFont="1">
      <alignment horizontal="center" vertical="center"/>
    </xf>
    <xf borderId="20" fillId="7" fontId="15" numFmtId="0" xfId="0" applyAlignment="1" applyBorder="1" applyFont="1">
      <alignment horizontal="center" vertical="center"/>
    </xf>
    <xf borderId="7" fillId="7" fontId="5" numFmtId="0" xfId="0" applyBorder="1" applyFont="1"/>
    <xf borderId="0" fillId="0" fontId="14" numFmtId="0" xfId="0" applyFont="1"/>
    <xf borderId="14" fillId="0" fontId="17" numFmtId="0" xfId="0" applyAlignment="1" applyBorder="1" applyFont="1">
      <alignment horizontal="left" shrinkToFit="0" vertical="center" wrapText="1"/>
    </xf>
    <xf borderId="32" fillId="0" fontId="18" numFmtId="0" xfId="0" applyAlignment="1" applyBorder="1" applyFont="1">
      <alignment horizontal="left" shrinkToFit="0" vertical="center" wrapText="1"/>
    </xf>
    <xf borderId="45" fillId="5" fontId="3" numFmtId="0" xfId="0" applyAlignment="1" applyBorder="1" applyFont="1">
      <alignment horizontal="center" vertical="center"/>
    </xf>
    <xf borderId="35" fillId="0" fontId="5" numFmtId="0" xfId="0" applyAlignment="1" applyBorder="1" applyFont="1">
      <alignment horizontal="center" shrinkToFit="0" vertical="center" wrapText="1"/>
    </xf>
    <xf borderId="35" fillId="6" fontId="5" numFmtId="0" xfId="0" applyAlignment="1" applyBorder="1" applyFont="1">
      <alignment horizontal="center" shrinkToFit="0" vertical="center" wrapText="1"/>
    </xf>
    <xf borderId="46" fillId="6" fontId="5" numFmtId="0" xfId="0" applyAlignment="1" applyBorder="1" applyFont="1">
      <alignment horizontal="center" shrinkToFit="0" vertical="center" wrapText="1"/>
    </xf>
    <xf borderId="47" fillId="4" fontId="14" numFmtId="3" xfId="0" applyAlignment="1" applyBorder="1" applyFont="1" applyNumberFormat="1">
      <alignment horizontal="center" vertical="center"/>
    </xf>
    <xf borderId="0" fillId="0" fontId="14" numFmtId="168" xfId="0" applyAlignment="1" applyFont="1" applyNumberFormat="1">
      <alignment horizontal="center"/>
    </xf>
    <xf borderId="45" fillId="4" fontId="17" numFmtId="0" xfId="0" applyAlignment="1" applyBorder="1" applyFont="1">
      <alignment horizontal="left" shrinkToFit="0" vertical="center" wrapText="1"/>
    </xf>
    <xf borderId="36" fillId="0" fontId="18" numFmtId="0" xfId="0" applyAlignment="1" applyBorder="1" applyFont="1">
      <alignment horizontal="left" shrinkToFit="0" vertical="center" wrapText="1"/>
    </xf>
    <xf borderId="14" fillId="5" fontId="3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shrinkToFit="0" vertical="center" wrapText="1"/>
    </xf>
    <xf borderId="16" fillId="6" fontId="14" numFmtId="0" xfId="0" applyAlignment="1" applyBorder="1" applyFont="1">
      <alignment horizontal="center" shrinkToFit="0" vertical="center" wrapText="1"/>
    </xf>
    <xf borderId="17" fillId="6" fontId="14" numFmtId="0" xfId="0" applyAlignment="1" applyBorder="1" applyFont="1">
      <alignment horizontal="center" shrinkToFit="0" vertical="center" wrapText="1"/>
    </xf>
    <xf borderId="0" fillId="0" fontId="14" numFmtId="169" xfId="0" applyAlignment="1" applyFont="1" applyNumberFormat="1">
      <alignment horizontal="center"/>
    </xf>
    <xf borderId="45" fillId="0" fontId="18" numFmtId="0" xfId="0" applyAlignment="1" applyBorder="1" applyFont="1">
      <alignment horizontal="left" shrinkToFit="0" vertical="center" wrapText="1"/>
    </xf>
    <xf borderId="26" fillId="0" fontId="18" numFmtId="0" xfId="0" applyAlignment="1" applyBorder="1" applyFont="1">
      <alignment horizontal="left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6" fillId="6" fontId="5" numFmtId="0" xfId="0" applyAlignment="1" applyBorder="1" applyFont="1">
      <alignment horizontal="center" shrinkToFit="0" vertical="center" wrapText="1"/>
    </xf>
    <xf borderId="17" fillId="6" fontId="5" numFmtId="0" xfId="0" applyAlignment="1" applyBorder="1" applyFont="1">
      <alignment horizontal="center" shrinkToFit="0" vertical="center" wrapText="1"/>
    </xf>
    <xf borderId="48" fillId="4" fontId="17" numFmtId="0" xfId="0" applyAlignment="1" applyBorder="1" applyFont="1">
      <alignment horizontal="left" shrinkToFit="0" vertical="center" wrapText="1"/>
    </xf>
    <xf borderId="29" fillId="0" fontId="18" numFmtId="0" xfId="0" applyAlignment="1" applyBorder="1" applyFont="1">
      <alignment horizontal="left" shrinkToFit="0" vertical="center" wrapText="1"/>
    </xf>
    <xf borderId="49" fillId="5" fontId="3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shrinkToFit="0" vertical="center" wrapText="1"/>
    </xf>
    <xf borderId="28" fillId="6" fontId="5" numFmtId="0" xfId="0" applyAlignment="1" applyBorder="1" applyFont="1">
      <alignment horizontal="center" shrinkToFit="0" vertical="center" wrapText="1"/>
    </xf>
    <xf borderId="50" fillId="6" fontId="5" numFmtId="0" xfId="0" applyAlignment="1" applyBorder="1" applyFont="1">
      <alignment horizontal="center" shrinkToFit="0" vertical="center" wrapText="1"/>
    </xf>
    <xf borderId="51" fillId="4" fontId="14" numFmtId="3" xfId="0" applyAlignment="1" applyBorder="1" applyFont="1" applyNumberFormat="1">
      <alignment horizontal="center" vertical="center"/>
    </xf>
    <xf borderId="44" fillId="0" fontId="4" numFmtId="0" xfId="0" applyBorder="1" applyFont="1"/>
    <xf borderId="33" fillId="0" fontId="18" numFmtId="0" xfId="0" applyAlignment="1" applyBorder="1" applyFont="1">
      <alignment horizontal="left" shrinkToFit="0" vertical="center" wrapText="1"/>
    </xf>
    <xf borderId="14" fillId="0" fontId="4" numFmtId="0" xfId="0" applyBorder="1" applyFont="1"/>
    <xf borderId="52" fillId="0" fontId="4" numFmtId="0" xfId="0" applyBorder="1" applyFont="1"/>
    <xf borderId="47" fillId="0" fontId="5" numFmtId="3" xfId="0" applyAlignment="1" applyBorder="1" applyFont="1" applyNumberFormat="1">
      <alignment horizontal="center" vertical="center"/>
    </xf>
    <xf borderId="49" fillId="4" fontId="17" numFmtId="0" xfId="0" applyAlignment="1" applyBorder="1" applyFont="1">
      <alignment horizontal="left" shrinkToFit="0" vertical="center" wrapText="1"/>
    </xf>
    <xf borderId="53" fillId="7" fontId="15" numFmtId="0" xfId="0" applyAlignment="1" applyBorder="1" applyFont="1">
      <alignment horizontal="center" vertical="center"/>
    </xf>
    <xf borderId="54" fillId="0" fontId="4" numFmtId="0" xfId="0" applyBorder="1" applyFont="1"/>
    <xf borderId="47" fillId="2" fontId="15" numFmtId="0" xfId="0" applyAlignment="1" applyBorder="1" applyFont="1">
      <alignment horizontal="center" shrinkToFit="0" textRotation="90" vertical="center" wrapText="1"/>
    </xf>
    <xf borderId="15" fillId="7" fontId="15" numFmtId="0" xfId="0" applyAlignment="1" applyBorder="1" applyFont="1">
      <alignment horizontal="center" vertical="center"/>
    </xf>
    <xf borderId="17" fillId="7" fontId="15" numFmtId="0" xfId="0" applyAlignment="1" applyBorder="1" applyFont="1">
      <alignment horizontal="center" vertical="center"/>
    </xf>
    <xf borderId="47" fillId="7" fontId="5" numFmtId="3" xfId="0" applyAlignment="1" applyBorder="1" applyFont="1" applyNumberFormat="1">
      <alignment horizontal="center" vertical="center"/>
    </xf>
    <xf borderId="30" fillId="0" fontId="18" numFmtId="0" xfId="0" applyAlignment="1" applyBorder="1" applyFont="1">
      <alignment horizontal="left" shrinkToFit="0" vertical="center" wrapText="1"/>
    </xf>
    <xf borderId="14" fillId="5" fontId="15" numFmtId="0" xfId="0" applyAlignment="1" applyBorder="1" applyFont="1">
      <alignment horizontal="center" vertical="center"/>
    </xf>
    <xf borderId="33" fillId="0" fontId="14" numFmtId="0" xfId="0" applyAlignment="1" applyBorder="1" applyFont="1">
      <alignment horizontal="center" shrinkToFit="0" vertical="center" wrapText="1"/>
    </xf>
    <xf borderId="55" fillId="6" fontId="14" numFmtId="0" xfId="0" applyAlignment="1" applyBorder="1" applyFont="1">
      <alignment horizontal="center" shrinkToFit="0" vertical="center" wrapText="1"/>
    </xf>
    <xf borderId="48" fillId="0" fontId="17" numFmtId="0" xfId="0" applyAlignment="1" applyBorder="1" applyFont="1">
      <alignment horizontal="left" shrinkToFit="0" vertical="center" wrapText="1"/>
    </xf>
    <xf borderId="49" fillId="5" fontId="15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shrinkToFit="0" vertical="center" wrapText="1"/>
    </xf>
    <xf borderId="29" fillId="6" fontId="14" numFmtId="0" xfId="0" applyAlignment="1" applyBorder="1" applyFont="1">
      <alignment horizontal="center" shrinkToFit="0" vertical="center" wrapText="1"/>
    </xf>
    <xf borderId="56" fillId="6" fontId="14" numFmtId="0" xfId="0" applyAlignment="1" applyBorder="1" applyFont="1">
      <alignment horizontal="center" shrinkToFit="0" vertical="center" wrapText="1"/>
    </xf>
    <xf borderId="51" fillId="0" fontId="5" numFmtId="3" xfId="0" applyAlignment="1" applyBorder="1" applyFont="1" applyNumberFormat="1">
      <alignment horizontal="center" vertical="center"/>
    </xf>
    <xf borderId="31" fillId="0" fontId="18" numFmtId="0" xfId="0" applyAlignment="1" applyBorder="1" applyFont="1">
      <alignment horizontal="left" shrinkToFit="0" vertical="center" wrapText="1"/>
    </xf>
    <xf borderId="57" fillId="0" fontId="4" numFmtId="0" xfId="0" applyBorder="1" applyFont="1"/>
    <xf borderId="34" fillId="5" fontId="15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shrinkToFit="0" vertical="center" wrapText="1"/>
    </xf>
    <xf borderId="34" fillId="6" fontId="14" numFmtId="0" xfId="0" applyAlignment="1" applyBorder="1" applyFont="1">
      <alignment horizontal="center" shrinkToFit="0" vertical="center" wrapText="1"/>
    </xf>
    <xf borderId="58" fillId="6" fontId="14" numFmtId="0" xfId="0" applyAlignment="1" applyBorder="1" applyFont="1">
      <alignment horizontal="center" shrinkToFit="0" vertical="center" wrapText="1"/>
    </xf>
    <xf borderId="7" fillId="7" fontId="5" numFmtId="3" xfId="0" applyAlignment="1" applyBorder="1" applyFont="1" applyNumberFormat="1">
      <alignment horizontal="center" vertical="center"/>
    </xf>
    <xf borderId="45" fillId="5" fontId="15" numFmtId="0" xfId="0" applyAlignment="1" applyBorder="1" applyFont="1">
      <alignment horizontal="center" vertical="center"/>
    </xf>
    <xf borderId="35" fillId="0" fontId="14" numFmtId="0" xfId="0" applyAlignment="1" applyBorder="1" applyFont="1">
      <alignment horizontal="center" shrinkToFit="0" vertical="center" wrapText="1"/>
    </xf>
    <xf borderId="35" fillId="6" fontId="14" numFmtId="0" xfId="0" applyAlignment="1" applyBorder="1" applyFont="1">
      <alignment horizontal="center" shrinkToFit="0" vertical="center" wrapText="1"/>
    </xf>
    <xf borderId="46" fillId="6" fontId="14" numFmtId="0" xfId="0" applyAlignment="1" applyBorder="1" applyFont="1">
      <alignment horizontal="center" shrinkToFit="0" vertical="center" wrapText="1"/>
    </xf>
    <xf borderId="45" fillId="0" fontId="17" numFmtId="0" xfId="0" applyAlignment="1" applyBorder="1" applyFont="1">
      <alignment horizontal="left" shrinkToFit="0" vertical="center" wrapText="1"/>
    </xf>
    <xf borderId="16" fillId="0" fontId="14" numFmtId="0" xfId="0" applyAlignment="1" applyBorder="1" applyFont="1">
      <alignment horizontal="center" vertical="center"/>
    </xf>
    <xf borderId="16" fillId="6" fontId="14" numFmtId="0" xfId="0" applyAlignment="1" applyBorder="1" applyFont="1">
      <alignment horizontal="center" vertical="center"/>
    </xf>
    <xf borderId="17" fillId="6" fontId="14" numFmtId="0" xfId="0" applyAlignment="1" applyBorder="1" applyFont="1">
      <alignment horizontal="center" vertical="center"/>
    </xf>
    <xf borderId="45" fillId="0" fontId="18" numFmtId="0" xfId="0" applyAlignment="1" applyBorder="1" applyFont="1">
      <alignment shrinkToFit="0" vertical="center" wrapText="1"/>
    </xf>
    <xf borderId="44" fillId="7" fontId="14" numFmtId="0" xfId="0" applyAlignment="1" applyBorder="1" applyFont="1">
      <alignment horizontal="center" vertical="center"/>
    </xf>
    <xf borderId="15" fillId="7" fontId="14" numFmtId="0" xfId="0" applyAlignment="1" applyBorder="1" applyFont="1">
      <alignment horizontal="center" vertical="center"/>
    </xf>
    <xf borderId="17" fillId="7" fontId="14" numFmtId="0" xfId="0" applyAlignment="1" applyBorder="1" applyFont="1">
      <alignment horizontal="center" vertical="center"/>
    </xf>
    <xf borderId="32" fillId="0" fontId="18" numFmtId="0" xfId="0" applyAlignment="1" applyBorder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right" shrinkToFit="0" vertical="center" wrapText="1"/>
    </xf>
    <xf borderId="36" fillId="0" fontId="18" numFmtId="0" xfId="0" applyAlignment="1" applyBorder="1" applyFont="1">
      <alignment shrinkToFit="0" vertical="center" wrapText="1"/>
    </xf>
    <xf borderId="52" fillId="0" fontId="5" numFmtId="3" xfId="0" applyAlignment="1" applyBorder="1" applyFont="1" applyNumberFormat="1">
      <alignment horizontal="center" vertical="center"/>
    </xf>
    <xf borderId="54" fillId="7" fontId="15" numFmtId="0" xfId="0" applyAlignment="1" applyBorder="1" applyFont="1">
      <alignment horizontal="center" vertical="center"/>
    </xf>
    <xf borderId="46" fillId="7" fontId="15" numFmtId="0" xfId="0" applyAlignment="1" applyBorder="1" applyFont="1">
      <alignment horizontal="center" vertical="center"/>
    </xf>
    <xf borderId="45" fillId="5" fontId="15" numFmtId="9" xfId="0" applyAlignment="1" applyBorder="1" applyFont="1" applyNumberFormat="1">
      <alignment horizontal="center" vertical="center"/>
    </xf>
    <xf borderId="33" fillId="6" fontId="14" numFmtId="0" xfId="0" applyAlignment="1" applyBorder="1" applyFont="1">
      <alignment horizontal="center" shrinkToFit="0" vertical="center" wrapText="1"/>
    </xf>
    <xf borderId="49" fillId="0" fontId="17" numFmtId="0" xfId="0" applyAlignment="1" applyBorder="1" applyFont="1">
      <alignment horizontal="left" shrinkToFit="0" vertical="center" wrapText="1"/>
    </xf>
    <xf borderId="49" fillId="5" fontId="15" numFmtId="9" xfId="0" applyAlignment="1" applyBorder="1" applyFont="1" applyNumberFormat="1">
      <alignment horizontal="center" vertical="center"/>
    </xf>
    <xf borderId="59" fillId="0" fontId="17" numFmtId="0" xfId="0" applyAlignment="1" applyBorder="1" applyFont="1">
      <alignment horizontal="left" shrinkToFit="0" vertical="center" wrapText="1"/>
    </xf>
    <xf borderId="60" fillId="0" fontId="18" numFmtId="0" xfId="0" applyAlignment="1" applyBorder="1" applyFont="1">
      <alignment horizontal="left" shrinkToFit="0" vertical="center" wrapText="1"/>
    </xf>
    <xf borderId="59" fillId="5" fontId="15" numFmtId="9" xfId="0" applyAlignment="1" applyBorder="1" applyFont="1" applyNumberFormat="1">
      <alignment horizontal="center" vertical="center"/>
    </xf>
    <xf borderId="61" fillId="0" fontId="14" numFmtId="0" xfId="0" applyAlignment="1" applyBorder="1" applyFont="1">
      <alignment horizontal="center" shrinkToFit="0" vertical="center" wrapText="1"/>
    </xf>
    <xf borderId="61" fillId="6" fontId="14" numFmtId="0" xfId="0" applyAlignment="1" applyBorder="1" applyFont="1">
      <alignment horizontal="center" shrinkToFit="0" vertical="center" wrapText="1"/>
    </xf>
    <xf borderId="62" fillId="6" fontId="14" numFmtId="0" xfId="0" applyAlignment="1" applyBorder="1" applyFont="1">
      <alignment horizontal="center" shrinkToFit="0" vertical="center" wrapText="1"/>
    </xf>
    <xf borderId="63" fillId="0" fontId="5" numFmtId="3" xfId="0" applyAlignment="1" applyBorder="1" applyFont="1" applyNumberFormat="1">
      <alignment horizontal="center" vertical="center"/>
    </xf>
    <xf borderId="0" fillId="0" fontId="3" numFmtId="0" xfId="0" applyFont="1"/>
    <xf borderId="1" fillId="2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26" fillId="0" fontId="5" numFmtId="0" xfId="0" applyBorder="1" applyFont="1"/>
    <xf borderId="27" fillId="0" fontId="5" numFmtId="0" xfId="0" applyBorder="1" applyFont="1"/>
    <xf borderId="27" fillId="0" fontId="5" numFmtId="0" xfId="0" applyAlignment="1" applyBorder="1" applyFont="1">
      <alignment vertical="center"/>
    </xf>
    <xf borderId="27" fillId="0" fontId="5" numFmtId="0" xfId="0" applyAlignment="1" applyBorder="1" applyFont="1">
      <alignment horizontal="right" vertical="center"/>
    </xf>
    <xf borderId="27" fillId="0" fontId="5" numFmtId="49" xfId="0" applyAlignment="1" applyBorder="1" applyFont="1" applyNumberFormat="1">
      <alignment horizontal="right" shrinkToFit="0" vertical="center" wrapText="0"/>
    </xf>
    <xf borderId="30" fillId="0" fontId="5" numFmtId="0" xfId="0" applyBorder="1" applyFont="1"/>
    <xf borderId="22" fillId="0" fontId="5" numFmtId="0" xfId="0" applyBorder="1" applyFont="1"/>
    <xf borderId="0" fillId="0" fontId="5" numFmtId="0" xfId="0" applyAlignment="1" applyFont="1">
      <alignment horizontal="right"/>
    </xf>
    <xf borderId="0" fillId="0" fontId="5" numFmtId="170" xfId="0" applyFont="1" applyNumberFormat="1"/>
    <xf borderId="40" fillId="2" fontId="5" numFmtId="0" xfId="0" applyAlignment="1" applyBorder="1" applyFont="1">
      <alignment horizontal="center"/>
    </xf>
    <xf borderId="0" fillId="4" fontId="19" numFmtId="0" xfId="0" applyAlignment="1" applyFont="1">
      <alignment horizontal="left" vertical="center"/>
    </xf>
    <xf borderId="14" fillId="0" fontId="5" numFmtId="0" xfId="0" applyAlignment="1" applyBorder="1" applyFont="1">
      <alignment horizontal="center"/>
    </xf>
    <xf borderId="55" fillId="4" fontId="20" numFmtId="0" xfId="0" applyAlignment="1" applyBorder="1" applyFont="1">
      <alignment horizontal="center" vertical="center"/>
    </xf>
    <xf borderId="59" fillId="0" fontId="5" numFmtId="0" xfId="0" applyAlignment="1" applyBorder="1" applyFont="1">
      <alignment horizontal="center"/>
    </xf>
    <xf borderId="62" fillId="4" fontId="20" numFmtId="0" xfId="0" applyAlignment="1" applyBorder="1" applyFont="1">
      <alignment horizontal="center" vertical="center"/>
    </xf>
    <xf borderId="32" fillId="0" fontId="5" numFmtId="0" xfId="0" applyBorder="1" applyFont="1"/>
    <xf borderId="15" fillId="0" fontId="5" numFmtId="0" xfId="0" applyBorder="1" applyFont="1"/>
    <xf borderId="15" fillId="0" fontId="5" numFmtId="0" xfId="0" applyAlignment="1" applyBorder="1" applyFont="1">
      <alignment horizontal="right"/>
    </xf>
    <xf borderId="15" fillId="0" fontId="5" numFmtId="170" xfId="0" applyBorder="1" applyFont="1" applyNumberFormat="1"/>
    <xf borderId="0" fillId="0" fontId="5" numFmtId="0" xfId="0" applyAlignment="1" applyFont="1">
      <alignment horizontal="left" vertical="center"/>
    </xf>
    <xf borderId="6" fillId="0" fontId="5" numFmtId="0" xfId="0" applyAlignment="1" applyBorder="1" applyFont="1">
      <alignment horizontal="left"/>
    </xf>
    <xf borderId="6" fillId="0" fontId="3" numFmtId="164" xfId="0" applyAlignment="1" applyBorder="1" applyFont="1" applyNumberFormat="1">
      <alignment horizontal="right"/>
    </xf>
    <xf borderId="0" fillId="0" fontId="5" numFmtId="0" xfId="0" applyAlignment="1" applyFont="1">
      <alignment horizontal="center"/>
    </xf>
    <xf borderId="6" fillId="0" fontId="3" numFmtId="0" xfId="0" applyAlignment="1" applyBorder="1" applyFont="1">
      <alignment horizontal="right"/>
    </xf>
    <xf borderId="0" fillId="0" fontId="5" numFmtId="0" xfId="0" applyAlignment="1" applyFont="1">
      <alignment horizontal="center" vertical="bottom"/>
    </xf>
    <xf borderId="6" fillId="0" fontId="5" numFmtId="0" xfId="0" applyAlignment="1" applyBorder="1" applyFont="1">
      <alignment horizontal="left" vertical="bottom"/>
    </xf>
    <xf borderId="6" fillId="0" fontId="9" numFmtId="0" xfId="0" applyAlignment="1" applyBorder="1" applyFont="1">
      <alignment horizontal="right" vertical="bottom"/>
    </xf>
    <xf borderId="6" fillId="0" fontId="15" numFmtId="0" xfId="0" applyAlignment="1" applyBorder="1" applyFont="1">
      <alignment horizontal="right" vertical="bottom"/>
    </xf>
    <xf borderId="6" fillId="0" fontId="21" numFmtId="4" xfId="0" applyAlignment="1" applyBorder="1" applyFont="1" applyNumberFormat="1">
      <alignment horizontal="right" vertical="bottom"/>
    </xf>
    <xf borderId="64" fillId="0" fontId="2" numFmtId="4" xfId="0" applyAlignment="1" applyBorder="1" applyFont="1" applyNumberFormat="1">
      <alignment horizontal="center" shrinkToFit="0" vertical="center" wrapText="1"/>
    </xf>
    <xf borderId="65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69" fillId="0" fontId="4" numFmtId="0" xfId="0" applyBorder="1" applyFont="1"/>
    <xf borderId="70" fillId="0" fontId="4" numFmtId="0" xfId="0" applyBorder="1" applyFont="1"/>
    <xf borderId="71" fillId="0" fontId="4" numFmtId="0" xfId="0" applyBorder="1" applyFont="1"/>
    <xf borderId="0" fillId="0" fontId="22" numFmtId="0" xfId="0" applyAlignment="1" applyFont="1">
      <alignment horizontal="center" vertical="center"/>
    </xf>
    <xf borderId="36" fillId="8" fontId="22" numFmtId="0" xfId="0" applyAlignment="1" applyBorder="1" applyFill="1" applyFont="1">
      <alignment horizontal="center" vertical="center"/>
    </xf>
    <xf borderId="35" fillId="0" fontId="4" numFmtId="0" xfId="0" applyBorder="1" applyFont="1"/>
    <xf borderId="36" fillId="8" fontId="22" numFmtId="0" xfId="0" applyAlignment="1" applyBorder="1" applyFont="1">
      <alignment horizontal="center" shrinkToFit="0" vertical="center" wrapText="1"/>
    </xf>
    <xf borderId="34" fillId="8" fontId="2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32" fillId="9" fontId="15" numFmtId="0" xfId="0" applyAlignment="1" applyBorder="1" applyFill="1" applyFont="1">
      <alignment horizontal="center" shrinkToFit="0" vertical="center" wrapText="1"/>
    </xf>
    <xf borderId="26" fillId="4" fontId="15" numFmtId="0" xfId="0" applyAlignment="1" applyBorder="1" applyFont="1">
      <alignment horizontal="center" shrinkToFit="0" vertical="center" wrapText="1"/>
    </xf>
    <xf borderId="72" fillId="0" fontId="23" numFmtId="0" xfId="0" applyAlignment="1" applyBorder="1" applyFont="1">
      <alignment horizontal="center" vertical="center"/>
    </xf>
    <xf borderId="72" fillId="0" fontId="20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center"/>
    </xf>
    <xf borderId="73" fillId="0" fontId="4" numFmtId="0" xfId="0" applyBorder="1" applyFont="1"/>
    <xf borderId="74" fillId="0" fontId="4" numFmtId="0" xfId="0" applyBorder="1" applyFont="1"/>
    <xf borderId="75" fillId="0" fontId="4" numFmtId="0" xfId="0" applyBorder="1" applyFont="1"/>
    <xf borderId="76" fillId="0" fontId="24" numFmtId="0" xfId="0" applyAlignment="1" applyBorder="1" applyFont="1">
      <alignment horizontal="center" vertical="center"/>
    </xf>
    <xf borderId="32" fillId="8" fontId="3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left" shrinkToFit="0" vertical="center" wrapText="1"/>
    </xf>
    <xf borderId="36" fillId="0" fontId="14" numFmtId="0" xfId="0" applyAlignment="1" applyBorder="1" applyFont="1">
      <alignment horizontal="left" shrinkToFit="0" vertical="center" wrapText="1"/>
    </xf>
    <xf borderId="34" fillId="4" fontId="14" numFmtId="170" xfId="0" applyAlignment="1" applyBorder="1" applyFont="1" applyNumberFormat="1">
      <alignment horizontal="right" vertical="center"/>
    </xf>
    <xf borderId="0" fillId="0" fontId="14" numFmtId="0" xfId="0" applyAlignment="1" applyFont="1">
      <alignment horizontal="center" vertical="center"/>
    </xf>
    <xf borderId="34" fillId="0" fontId="25" numFmtId="0" xfId="0" applyAlignment="1" applyBorder="1" applyFont="1">
      <alignment horizontal="left" shrinkToFit="0" vertical="center" wrapText="1"/>
    </xf>
    <xf borderId="36" fillId="0" fontId="25" numFmtId="0" xfId="0" applyAlignment="1" applyBorder="1" applyFont="1">
      <alignment horizontal="left" shrinkToFit="0" vertical="center" wrapText="1"/>
    </xf>
    <xf borderId="36" fillId="0" fontId="14" numFmtId="0" xfId="0" applyAlignment="1" applyBorder="1" applyFont="1">
      <alignment shrinkToFit="0" vertical="center" wrapText="1"/>
    </xf>
    <xf borderId="54" fillId="0" fontId="25" numFmtId="0" xfId="0" applyAlignment="1" applyBorder="1" applyFont="1">
      <alignment horizontal="left" shrinkToFit="0" vertical="center" wrapText="1"/>
    </xf>
    <xf borderId="77" fillId="4" fontId="14" numFmtId="170" xfId="0" applyAlignment="1" applyBorder="1" applyFont="1" applyNumberFormat="1">
      <alignment horizontal="right" vertical="center"/>
    </xf>
    <xf borderId="0" fillId="0" fontId="26" numFmtId="0" xfId="0" applyAlignment="1" applyFont="1">
      <alignment horizontal="center" vertical="center"/>
    </xf>
    <xf borderId="78" fillId="8" fontId="3" numFmtId="0" xfId="0" applyAlignment="1" applyBorder="1" applyFont="1">
      <alignment horizontal="center" vertical="center"/>
    </xf>
    <xf borderId="79" fillId="0" fontId="4" numFmtId="0" xfId="0" applyBorder="1" applyFont="1"/>
    <xf borderId="80" fillId="0" fontId="4" numFmtId="0" xfId="0" applyBorder="1" applyFont="1"/>
    <xf borderId="0" fillId="0" fontId="15" numFmtId="0" xfId="0" applyAlignment="1" applyFont="1">
      <alignment horizontal="center" vertical="center"/>
    </xf>
    <xf borderId="0" fillId="4" fontId="19" numFmtId="0" xfId="0" applyAlignment="1" applyFont="1">
      <alignment horizontal="center" vertical="center"/>
    </xf>
    <xf borderId="36" fillId="9" fontId="15" numFmtId="0" xfId="0" applyAlignment="1" applyBorder="1" applyFont="1">
      <alignment horizontal="center" vertical="center"/>
    </xf>
    <xf borderId="54" fillId="9" fontId="15" numFmtId="0" xfId="0" applyAlignment="1" applyBorder="1" applyFont="1">
      <alignment horizontal="center" vertical="center"/>
    </xf>
    <xf borderId="54" fillId="9" fontId="27" numFmtId="0" xfId="0" applyAlignment="1" applyBorder="1" applyFont="1">
      <alignment horizontal="center" vertical="center"/>
    </xf>
    <xf borderId="54" fillId="9" fontId="5" numFmtId="0" xfId="0" applyAlignment="1" applyBorder="1" applyFont="1">
      <alignment horizontal="right" vertical="center"/>
    </xf>
    <xf borderId="54" fillId="9" fontId="28" numFmtId="0" xfId="0" applyAlignment="1" applyBorder="1" applyFont="1">
      <alignment horizontal="right" vertical="center"/>
    </xf>
    <xf borderId="54" fillId="9" fontId="28" numFmtId="0" xfId="0" applyAlignment="1" applyBorder="1" applyFont="1">
      <alignment horizontal="left" vertical="center"/>
    </xf>
    <xf borderId="35" fillId="9" fontId="15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76" fillId="0" fontId="19" numFmtId="0" xfId="0" applyAlignment="1" applyBorder="1" applyFont="1">
      <alignment horizontal="center" vertical="center"/>
    </xf>
    <xf borderId="0" fillId="4" fontId="20" numFmtId="0" xfId="0" applyAlignment="1" applyFont="1">
      <alignment horizontal="center" vertical="center"/>
    </xf>
    <xf borderId="33" fillId="4" fontId="19" numFmtId="0" xfId="0" applyAlignment="1" applyBorder="1" applyFont="1">
      <alignment horizontal="center" vertical="center"/>
    </xf>
    <xf borderId="33" fillId="0" fontId="25" numFmtId="0" xfId="0" applyAlignment="1" applyBorder="1" applyFont="1">
      <alignment horizontal="left" shrinkToFit="0" vertical="center" wrapText="1"/>
    </xf>
    <xf borderId="36" fillId="0" fontId="5" numFmtId="0" xfId="0" applyAlignment="1" applyBorder="1" applyFont="1">
      <alignment vertical="center"/>
    </xf>
    <xf borderId="34" fillId="0" fontId="5" numFmtId="170" xfId="0" applyAlignment="1" applyBorder="1" applyFont="1" applyNumberFormat="1">
      <alignment horizontal="right" vertical="center"/>
    </xf>
    <xf borderId="33" fillId="4" fontId="19" numFmtId="0" xfId="0" applyAlignment="1" applyBorder="1" applyFont="1">
      <alignment horizontal="center" readingOrder="0" vertical="center"/>
    </xf>
    <xf borderId="29" fillId="0" fontId="5" numFmtId="170" xfId="0" applyAlignment="1" applyBorder="1" applyFont="1" applyNumberFormat="1">
      <alignment horizontal="right" vertical="center"/>
    </xf>
    <xf borderId="0" fillId="0" fontId="29" numFmtId="0" xfId="0" applyAlignment="1" applyFont="1">
      <alignment horizontal="center" vertical="center"/>
    </xf>
    <xf borderId="34" fillId="4" fontId="19" numFmtId="0" xfId="0" applyAlignment="1" applyBorder="1" applyFont="1">
      <alignment horizontal="center" vertical="center"/>
    </xf>
    <xf borderId="28" fillId="0" fontId="5" numFmtId="170" xfId="0" applyAlignment="1" applyBorder="1" applyFont="1" applyNumberFormat="1">
      <alignment horizontal="right" vertical="center"/>
    </xf>
    <xf borderId="15" fillId="9" fontId="27" numFmtId="0" xfId="0" applyAlignment="1" applyBorder="1" applyFont="1">
      <alignment horizontal="center" vertical="center"/>
    </xf>
    <xf borderId="35" fillId="9" fontId="5" numFmtId="170" xfId="0" applyAlignment="1" applyBorder="1" applyFont="1" applyNumberFormat="1">
      <alignment horizontal="right" vertical="center"/>
    </xf>
    <xf borderId="33" fillId="0" fontId="5" numFmtId="170" xfId="0" applyAlignment="1" applyBorder="1" applyFont="1" applyNumberFormat="1">
      <alignment horizontal="right" vertical="center"/>
    </xf>
    <xf borderId="31" fillId="0" fontId="5" numFmtId="170" xfId="0" applyAlignment="1" applyBorder="1" applyFont="1" applyNumberFormat="1">
      <alignment horizontal="right" vertical="center"/>
    </xf>
    <xf borderId="34" fillId="0" fontId="5" numFmtId="0" xfId="0" applyAlignment="1" applyBorder="1" applyFont="1">
      <alignment shrinkToFit="0" vertical="center" wrapText="1"/>
    </xf>
    <xf borderId="36" fillId="4" fontId="19" numFmtId="0" xfId="0" applyAlignment="1" applyBorder="1" applyFont="1">
      <alignment horizontal="center" vertical="center"/>
    </xf>
    <xf borderId="76" fillId="0" fontId="26" numFmtId="0" xfId="0" applyAlignment="1" applyBorder="1" applyFont="1">
      <alignment horizontal="center" vertical="center"/>
    </xf>
    <xf borderId="76" fillId="0" fontId="20" numFmtId="0" xfId="0" applyAlignment="1" applyBorder="1" applyFont="1">
      <alignment horizontal="center" vertical="center"/>
    </xf>
    <xf borderId="77" fillId="0" fontId="5" numFmtId="170" xfId="0" applyAlignment="1" applyBorder="1" applyFont="1" applyNumberFormat="1">
      <alignment horizontal="right" vertical="center"/>
    </xf>
    <xf borderId="81" fillId="4" fontId="19" numFmtId="0" xfId="0" applyAlignment="1" applyBorder="1" applyFont="1">
      <alignment horizontal="center" vertical="center"/>
    </xf>
    <xf borderId="81" fillId="0" fontId="25" numFmtId="0" xfId="0" applyAlignment="1" applyBorder="1" applyFont="1">
      <alignment horizontal="left" shrinkToFit="0" vertical="center" wrapText="1"/>
    </xf>
    <xf borderId="82" fillId="0" fontId="25" numFmtId="0" xfId="0" applyAlignment="1" applyBorder="1" applyFont="1">
      <alignment horizontal="left" shrinkToFit="0" vertical="center" wrapText="1"/>
    </xf>
    <xf borderId="83" fillId="0" fontId="4" numFmtId="0" xfId="0" applyBorder="1" applyFont="1"/>
    <xf borderId="84" fillId="0" fontId="4" numFmtId="0" xfId="0" applyBorder="1" applyFont="1"/>
    <xf borderId="85" fillId="0" fontId="5" numFmtId="170" xfId="0" applyAlignment="1" applyBorder="1" applyFont="1" applyNumberFormat="1">
      <alignment horizontal="right" vertical="center"/>
    </xf>
    <xf borderId="76" fillId="0" fontId="3" numFmtId="0" xfId="0" applyAlignment="1" applyBorder="1" applyFont="1">
      <alignment horizontal="center" vertical="center"/>
    </xf>
    <xf borderId="86" fillId="8" fontId="3" numFmtId="0" xfId="0" applyAlignment="1" applyBorder="1" applyFont="1">
      <alignment horizontal="center" vertical="center"/>
    </xf>
    <xf borderId="87" fillId="0" fontId="4" numFmtId="0" xfId="0" applyBorder="1" applyFont="1"/>
    <xf borderId="88" fillId="0" fontId="4" numFmtId="0" xfId="0" applyBorder="1" applyFont="1"/>
    <xf borderId="29" fillId="4" fontId="19" numFmtId="0" xfId="0" applyAlignment="1" applyBorder="1" applyFont="1">
      <alignment horizontal="center" vertical="center"/>
    </xf>
    <xf borderId="29" fillId="0" fontId="25" numFmtId="0" xfId="0" applyAlignment="1" applyBorder="1" applyFont="1">
      <alignment horizontal="left" shrinkToFit="0" vertical="center" wrapText="1"/>
    </xf>
    <xf borderId="26" fillId="0" fontId="25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center" vertical="center"/>
    </xf>
    <xf borderId="78" fillId="8" fontId="15" numFmtId="0" xfId="0" applyAlignment="1" applyBorder="1" applyFont="1">
      <alignment horizontal="center" vertical="center"/>
    </xf>
    <xf borderId="0" fillId="0" fontId="14" numFmtId="1" xfId="0" applyAlignment="1" applyFont="1" applyNumberFormat="1">
      <alignment horizontal="center" vertical="center"/>
    </xf>
    <xf borderId="77" fillId="4" fontId="19" numFmtId="0" xfId="0" applyAlignment="1" applyBorder="1" applyFont="1">
      <alignment horizontal="center" vertical="center"/>
    </xf>
    <xf borderId="77" fillId="0" fontId="25" numFmtId="0" xfId="0" applyAlignment="1" applyBorder="1" applyFont="1">
      <alignment horizontal="left" shrinkToFit="0" vertical="center" wrapText="1"/>
    </xf>
    <xf borderId="89" fillId="0" fontId="25" numFmtId="0" xfId="0" applyAlignment="1" applyBorder="1" applyFont="1">
      <alignment horizontal="left" shrinkToFit="0" vertical="center" wrapText="1"/>
    </xf>
    <xf borderId="90" fillId="0" fontId="4" numFmtId="0" xfId="0" applyBorder="1" applyFont="1"/>
    <xf borderId="91" fillId="0" fontId="4" numFmtId="0" xfId="0" applyBorder="1" applyFont="1"/>
    <xf borderId="32" fillId="10" fontId="30" numFmtId="0" xfId="0" applyAlignment="1" applyBorder="1" applyFill="1" applyFont="1">
      <alignment horizontal="center" vertical="center"/>
    </xf>
    <xf borderId="0" fillId="0" fontId="31" numFmtId="0" xfId="0" applyAlignment="1" applyFont="1">
      <alignment horizontal="center"/>
    </xf>
    <xf borderId="0" fillId="0" fontId="5" numFmtId="0" xfId="0" applyAlignment="1" applyFont="1">
      <alignment horizontal="right" vertical="center"/>
    </xf>
    <xf borderId="37" fillId="0" fontId="5" numFmtId="0" xfId="0" applyAlignment="1" applyBorder="1" applyFont="1">
      <alignment vertical="bottom"/>
    </xf>
    <xf borderId="37" fillId="0" fontId="5" numFmtId="0" xfId="0" applyAlignment="1" applyBorder="1" applyFont="1">
      <alignment horizontal="right" vertical="center"/>
    </xf>
    <xf borderId="38" fillId="0" fontId="5" numFmtId="0" xfId="0" applyAlignment="1" applyBorder="1" applyFont="1">
      <alignment horizontal="right" vertical="center"/>
    </xf>
    <xf borderId="38" fillId="0" fontId="3" numFmtId="170" xfId="0" applyAlignment="1" applyBorder="1" applyFont="1" applyNumberFormat="1">
      <alignment horizontal="center" vertical="center"/>
    </xf>
    <xf borderId="39" fillId="0" fontId="5" numFmtId="0" xfId="0" applyBorder="1" applyFont="1"/>
    <xf borderId="39" fillId="0" fontId="5" numFmtId="0" xfId="0" applyAlignment="1" applyBorder="1" applyFont="1">
      <alignment shrinkToFit="0" vertical="bottom" wrapText="0"/>
    </xf>
    <xf borderId="0" fillId="0" fontId="3" numFmtId="170" xfId="0" applyAlignment="1" applyFont="1" applyNumberFormat="1">
      <alignment horizontal="center" vertical="center"/>
    </xf>
    <xf borderId="5" fillId="0" fontId="9" numFmtId="0" xfId="0" applyAlignment="1" applyBorder="1" applyFont="1">
      <alignment shrinkToFit="0" vertical="bottom" wrapText="0"/>
    </xf>
    <xf borderId="38" fillId="0" fontId="5" numFmtId="0" xfId="0" applyAlignment="1" applyBorder="1" applyFont="1">
      <alignment vertical="bottom"/>
    </xf>
    <xf borderId="92" fillId="0" fontId="5" numFmtId="0" xfId="0" applyAlignment="1" applyBorder="1" applyFont="1">
      <alignment horizontal="right" vertical="center"/>
    </xf>
    <xf borderId="0" fillId="0" fontId="15" numFmtId="0" xfId="0" applyAlignment="1" applyFont="1">
      <alignment shrinkToFit="0" vertical="bottom" wrapText="0"/>
    </xf>
    <xf borderId="27" fillId="0" fontId="32" numFmtId="0" xfId="0" applyAlignment="1" applyBorder="1" applyFont="1">
      <alignment shrinkToFit="0" vertical="bottom" wrapText="0"/>
    </xf>
    <xf borderId="27" fillId="0" fontId="5" numFmtId="0" xfId="0" applyAlignment="1" applyBorder="1" applyFont="1">
      <alignment vertical="bottom"/>
    </xf>
    <xf borderId="27" fillId="4" fontId="32" numFmtId="0" xfId="0" applyAlignment="1" applyBorder="1" applyFon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0" numFmtId="166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0" fillId="0" fontId="13" numFmtId="166" xfId="0" applyAlignment="1" applyFont="1" applyNumberFormat="1">
      <alignment horizontal="right" vertical="bottom"/>
    </xf>
    <xf borderId="0" fillId="0" fontId="5" numFmtId="0" xfId="0" applyAlignment="1" applyFon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vertical="center"/>
    </xf>
    <xf borderId="34" fillId="2" fontId="3" numFmtId="0" xfId="0" applyAlignment="1" applyBorder="1" applyFont="1">
      <alignment horizontal="center" vertical="center"/>
    </xf>
    <xf borderId="34" fillId="0" fontId="5" numFmtId="0" xfId="0" applyAlignment="1" applyBorder="1" applyFont="1">
      <alignment horizontal="center" vertical="center"/>
    </xf>
    <xf borderId="34" fillId="0" fontId="5" numFmtId="165" xfId="0" applyAlignment="1" applyBorder="1" applyFont="1" applyNumberFormat="1">
      <alignment horizontal="center" vertical="center"/>
    </xf>
    <xf borderId="34" fillId="0" fontId="5" numFmtId="0" xfId="0" applyAlignment="1" applyBorder="1" applyFont="1">
      <alignment horizontal="left" vertical="center"/>
    </xf>
    <xf borderId="34" fillId="0" fontId="5" numFmtId="0" xfId="0" applyAlignment="1" applyBorder="1" applyFont="1">
      <alignment horizontal="left" shrinkToFit="0" vertical="center" wrapText="0"/>
    </xf>
    <xf borderId="25" fillId="0" fontId="3" numFmtId="0" xfId="0" applyAlignment="1" applyBorder="1" applyFont="1">
      <alignment horizontal="right" vertical="bottom"/>
    </xf>
    <xf borderId="0" fillId="0" fontId="1" numFmtId="0" xfId="0" applyAlignment="1" applyFont="1">
      <alignment horizontal="center" vertical="center"/>
    </xf>
    <xf borderId="0" fillId="2" fontId="6" numFmtId="0" xfId="0" applyAlignment="1" applyFont="1">
      <alignment horizontal="center" vertical="center"/>
    </xf>
    <xf borderId="93" fillId="0" fontId="1" numFmtId="0" xfId="0" applyAlignment="1" applyBorder="1" applyFont="1">
      <alignment horizontal="center" vertical="center"/>
    </xf>
    <xf borderId="94" fillId="0" fontId="18" numFmtId="0" xfId="0" applyAlignment="1" applyBorder="1" applyFont="1">
      <alignment horizontal="left" shrinkToFit="0" vertical="center" wrapText="1"/>
    </xf>
    <xf borderId="95" fillId="0" fontId="4" numFmtId="0" xfId="0" applyBorder="1" applyFont="1"/>
    <xf borderId="96" fillId="0" fontId="4" numFmtId="0" xfId="0" applyBorder="1" applyFont="1"/>
    <xf borderId="0" fillId="0" fontId="34" numFmtId="0" xfId="0" applyAlignment="1" applyFont="1">
      <alignment horizontal="center" vertical="center"/>
    </xf>
    <xf borderId="0" fillId="2" fontId="6" numFmtId="0" xfId="0" applyAlignment="1" applyFont="1">
      <alignment horizontal="center" shrinkToFit="0" vertical="center" wrapText="1"/>
    </xf>
    <xf borderId="97" fillId="0" fontId="1" numFmtId="0" xfId="0" applyAlignment="1" applyBorder="1" applyFont="1">
      <alignment horizontal="center" vertical="center"/>
    </xf>
    <xf borderId="98" fillId="0" fontId="18" numFmtId="0" xfId="0" applyAlignment="1" applyBorder="1" applyFont="1">
      <alignment horizontal="left" shrinkToFit="0" vertical="center" wrapText="1"/>
    </xf>
    <xf borderId="99" fillId="0" fontId="4" numFmtId="0" xfId="0" applyBorder="1" applyFont="1"/>
    <xf borderId="100" fillId="0" fontId="4" numFmtId="0" xfId="0" applyBorder="1" applyFont="1"/>
    <xf borderId="101" fillId="0" fontId="4" numFmtId="0" xfId="0" applyBorder="1" applyFont="1"/>
    <xf borderId="97" fillId="0" fontId="4" numFmtId="0" xfId="0" applyBorder="1" applyFont="1"/>
    <xf borderId="102" fillId="0" fontId="4" numFmtId="0" xfId="0" applyBorder="1" applyFont="1"/>
    <xf borderId="0" fillId="0" fontId="18" numFmtId="0" xfId="0" applyAlignment="1" applyFont="1">
      <alignment horizontal="center" textRotation="90" vertical="center"/>
    </xf>
    <xf borderId="102" fillId="0" fontId="1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93" fillId="0" fontId="18" numFmtId="0" xfId="0" applyAlignment="1" applyBorder="1" applyFont="1">
      <alignment horizontal="center" vertical="center"/>
    </xf>
    <xf borderId="99" fillId="0" fontId="1" numFmtId="0" xfId="0" applyBorder="1" applyFont="1"/>
    <xf borderId="0" fillId="6" fontId="13" numFmtId="0" xfId="0" applyAlignment="1" applyFont="1">
      <alignment shrinkToFit="0" wrapText="1"/>
    </xf>
    <xf borderId="15" fillId="0" fontId="1" numFmtId="0" xfId="0" applyAlignment="1" applyBorder="1" applyFont="1">
      <alignment vertical="center"/>
    </xf>
    <xf borderId="15" fillId="0" fontId="18" numFmtId="0" xfId="0" applyAlignment="1" applyBorder="1" applyFont="1">
      <alignment horizontal="right" shrinkToFit="0" vertical="center" wrapText="0"/>
    </xf>
    <xf borderId="15" fillId="0" fontId="35" numFmtId="0" xfId="0" applyAlignment="1" applyBorder="1" applyFont="1">
      <alignment horizontal="center" vertical="center"/>
    </xf>
    <xf borderId="15" fillId="0" fontId="18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bottom" wrapText="0"/>
    </xf>
    <xf borderId="0" fillId="4" fontId="10" numFmtId="0" xfId="0" applyAlignment="1" applyFont="1">
      <alignment horizontal="right" shrinkToFit="0" vertical="bottom" wrapText="0"/>
    </xf>
    <xf borderId="0" fillId="0" fontId="13" numFmtId="166" xfId="0" applyAlignment="1" applyFont="1" applyNumberFormat="1">
      <alignment vertical="bottom"/>
    </xf>
    <xf borderId="0" fillId="6" fontId="1" numFmtId="0" xfId="0" applyAlignment="1" applyFont="1">
      <alignment vertical="bottom"/>
    </xf>
    <xf borderId="0" fillId="6" fontId="6" numFmtId="0" xfId="0" applyAlignment="1" applyFont="1">
      <alignment vertical="center"/>
    </xf>
    <xf borderId="0" fillId="6" fontId="1" numFmtId="0" xfId="0" applyFont="1"/>
    <xf borderId="15" fillId="0" fontId="34" numFmtId="0" xfId="0" applyAlignment="1" applyBorder="1" applyFont="1">
      <alignment horizontal="center" vertical="center"/>
    </xf>
    <xf borderId="15" fillId="0" fontId="36" numFmtId="0" xfId="0" applyAlignment="1" applyBorder="1" applyFont="1">
      <alignment horizontal="center" shrinkToFit="0" vertical="bottom" wrapText="1"/>
    </xf>
    <xf borderId="15" fillId="2" fontId="6" numFmtId="0" xfId="0" applyAlignment="1" applyBorder="1" applyFont="1">
      <alignment shrinkToFit="0" vertical="center" wrapText="1"/>
    </xf>
    <xf borderId="15" fillId="0" fontId="18" numFmtId="0" xfId="0" applyAlignment="1" applyBorder="1" applyFont="1">
      <alignment shrinkToFit="0" vertical="center" wrapText="1"/>
    </xf>
    <xf borderId="16" fillId="0" fontId="18" numFmtId="0" xfId="0" applyAlignment="1" applyBorder="1" applyFont="1">
      <alignment horizontal="center" shrinkToFit="0" vertical="center" wrapText="1"/>
    </xf>
    <xf borderId="16" fillId="0" fontId="18" numFmtId="49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vertical="center"/>
    </xf>
    <xf borderId="16" fillId="0" fontId="18" numFmtId="171" xfId="0" applyAlignment="1" applyBorder="1" applyFont="1" applyNumberFormat="1">
      <alignment horizontal="center" shrinkToFit="0" vertical="center" wrapText="1"/>
    </xf>
    <xf borderId="36" fillId="2" fontId="6" numFmtId="0" xfId="0" applyAlignment="1" applyBorder="1" applyFont="1">
      <alignment shrinkToFit="0" vertical="center" wrapText="1"/>
    </xf>
    <xf borderId="0" fillId="6" fontId="18" numFmtId="0" xfId="0" applyAlignment="1" applyFont="1">
      <alignment shrinkToFit="0" vertical="center" wrapText="1"/>
    </xf>
    <xf borderId="0" fillId="6" fontId="18" numFmtId="0" xfId="0" applyAlignment="1" applyFont="1">
      <alignment shrinkToFit="0" wrapText="1"/>
    </xf>
    <xf borderId="27" fillId="0" fontId="1" numFmtId="0" xfId="0" applyAlignment="1" applyBorder="1" applyFont="1">
      <alignment vertical="bottom"/>
    </xf>
  </cellXfs>
  <cellStyles count="1">
    <cellStyle xfId="0" name="Normal" builtinId="0"/>
  </cellStyles>
  <dxfs count="4">
    <dxf>
      <font>
        <color rgb="FF9ACAE0"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>
        <b/>
        <color rgb="FF000000"/>
      </font>
      <fill>
        <patternFill patternType="none"/>
      </fill>
      <border/>
    </dxf>
    <dxf>
      <font>
        <b/>
        <color theme="1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133350</xdr:rowOff>
    </xdr:from>
    <xdr:ext cx="1495425" cy="628650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200025" cy="9525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86000" cy="952500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71675" cy="819150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9525</xdr:rowOff>
    </xdr:from>
    <xdr:ext cx="2447925" cy="1019175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47925" cy="1019175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47925" cy="1019175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2.63"/>
    <col customWidth="1" min="3" max="3" width="7.63"/>
    <col customWidth="1" min="4" max="5" width="3.88"/>
    <col customWidth="1" min="6" max="24" width="5.13"/>
    <col customWidth="1" min="25" max="25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2"/>
      <c r="F2" s="3" t="s">
        <v>0</v>
      </c>
    </row>
    <row r="3">
      <c r="A3" s="1"/>
    </row>
    <row r="4">
      <c r="A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26.25" customHeight="1">
      <c r="A5" s="4"/>
      <c r="B5" s="5" t="s">
        <v>1</v>
      </c>
      <c r="C5" s="4"/>
      <c r="D5" s="4"/>
      <c r="E5" s="4"/>
      <c r="F5" s="6" t="s">
        <v>2</v>
      </c>
      <c r="G5" s="7" t="s">
        <v>3</v>
      </c>
      <c r="H5" s="8"/>
      <c r="I5" s="9"/>
      <c r="J5" s="7" t="s">
        <v>4</v>
      </c>
      <c r="K5" s="8"/>
      <c r="L5" s="9"/>
      <c r="M5" s="10" t="s">
        <v>5</v>
      </c>
      <c r="N5" s="6" t="s">
        <v>6</v>
      </c>
      <c r="O5" s="11" t="s">
        <v>7</v>
      </c>
      <c r="P5" s="8"/>
      <c r="Q5" s="9"/>
      <c r="R5" s="7" t="s">
        <v>8</v>
      </c>
      <c r="S5" s="8"/>
      <c r="T5" s="9"/>
      <c r="U5" s="7" t="s">
        <v>9</v>
      </c>
      <c r="V5" s="9"/>
      <c r="W5" s="10" t="s">
        <v>10</v>
      </c>
      <c r="X5" s="10" t="s">
        <v>11</v>
      </c>
      <c r="Y5" s="4"/>
    </row>
    <row r="6" ht="26.25" customHeight="1">
      <c r="A6" s="4"/>
      <c r="B6" s="12" t="s">
        <v>12</v>
      </c>
      <c r="C6" s="13"/>
      <c r="D6" s="13"/>
      <c r="E6" s="4"/>
      <c r="F6" s="14"/>
      <c r="G6" s="15"/>
      <c r="I6" s="16"/>
      <c r="J6" s="15"/>
      <c r="L6" s="16"/>
      <c r="M6" s="14"/>
      <c r="N6" s="14"/>
      <c r="O6" s="15"/>
      <c r="Q6" s="16"/>
      <c r="R6" s="15"/>
      <c r="T6" s="16"/>
      <c r="U6" s="15"/>
      <c r="V6" s="16"/>
      <c r="W6" s="14"/>
      <c r="X6" s="14"/>
      <c r="Y6" s="4"/>
    </row>
    <row r="7" ht="26.25" customHeight="1">
      <c r="A7" s="4"/>
      <c r="B7" s="17" t="s">
        <v>13</v>
      </c>
      <c r="C7" s="13"/>
      <c r="D7" s="18">
        <v>5.0</v>
      </c>
      <c r="E7" s="4"/>
      <c r="F7" s="14"/>
      <c r="G7" s="15"/>
      <c r="I7" s="16"/>
      <c r="J7" s="15"/>
      <c r="L7" s="16"/>
      <c r="M7" s="14"/>
      <c r="N7" s="14"/>
      <c r="O7" s="15"/>
      <c r="Q7" s="16"/>
      <c r="R7" s="15"/>
      <c r="T7" s="16"/>
      <c r="U7" s="15"/>
      <c r="V7" s="16"/>
      <c r="W7" s="14"/>
      <c r="X7" s="14"/>
      <c r="Y7" s="4"/>
    </row>
    <row r="8" ht="26.25" customHeight="1">
      <c r="A8" s="4"/>
      <c r="B8" s="17" t="s">
        <v>14</v>
      </c>
      <c r="C8" s="13"/>
      <c r="D8" s="18">
        <v>5.0</v>
      </c>
      <c r="E8" s="4"/>
      <c r="F8" s="19"/>
      <c r="G8" s="20"/>
      <c r="H8" s="21"/>
      <c r="I8" s="22"/>
      <c r="J8" s="20"/>
      <c r="K8" s="21"/>
      <c r="L8" s="22"/>
      <c r="M8" s="19"/>
      <c r="N8" s="19"/>
      <c r="O8" s="20"/>
      <c r="P8" s="21"/>
      <c r="Q8" s="22"/>
      <c r="R8" s="20"/>
      <c r="S8" s="21"/>
      <c r="T8" s="22"/>
      <c r="U8" s="20"/>
      <c r="V8" s="22"/>
      <c r="W8" s="19"/>
      <c r="X8" s="19"/>
      <c r="Y8" s="4"/>
    </row>
    <row r="9">
      <c r="A9" s="4"/>
      <c r="B9" s="4"/>
      <c r="E9" s="23"/>
      <c r="F9" s="24" t="s">
        <v>15</v>
      </c>
      <c r="G9" s="25" t="s">
        <v>15</v>
      </c>
      <c r="H9" s="26"/>
      <c r="I9" s="27" t="s">
        <v>16</v>
      </c>
      <c r="J9" s="25" t="s">
        <v>15</v>
      </c>
      <c r="K9" s="26"/>
      <c r="L9" s="27" t="s">
        <v>16</v>
      </c>
      <c r="M9" s="27" t="s">
        <v>16</v>
      </c>
      <c r="N9" s="27" t="s">
        <v>16</v>
      </c>
      <c r="O9" s="25" t="s">
        <v>15</v>
      </c>
      <c r="P9" s="26"/>
      <c r="Q9" s="27" t="s">
        <v>16</v>
      </c>
      <c r="R9" s="25" t="s">
        <v>15</v>
      </c>
      <c r="S9" s="26"/>
      <c r="T9" s="27" t="s">
        <v>16</v>
      </c>
      <c r="U9" s="25" t="s">
        <v>15</v>
      </c>
      <c r="V9" s="26"/>
      <c r="W9" s="28" t="s">
        <v>15</v>
      </c>
      <c r="X9" s="29" t="s">
        <v>16</v>
      </c>
      <c r="Y9" s="4"/>
    </row>
    <row r="10">
      <c r="A10" s="4"/>
      <c r="B10" s="30" t="s">
        <v>17</v>
      </c>
      <c r="C10" s="31"/>
      <c r="D10" s="31"/>
      <c r="E10" s="32"/>
      <c r="F10" s="24" t="s">
        <v>18</v>
      </c>
      <c r="G10" s="27" t="s">
        <v>19</v>
      </c>
      <c r="H10" s="27" t="s">
        <v>18</v>
      </c>
      <c r="I10" s="27" t="s">
        <v>18</v>
      </c>
      <c r="J10" s="27" t="s">
        <v>19</v>
      </c>
      <c r="K10" s="27" t="s">
        <v>18</v>
      </c>
      <c r="L10" s="27" t="s">
        <v>18</v>
      </c>
      <c r="M10" s="27" t="s">
        <v>18</v>
      </c>
      <c r="N10" s="27" t="s">
        <v>18</v>
      </c>
      <c r="O10" s="27" t="s">
        <v>19</v>
      </c>
      <c r="P10" s="27" t="s">
        <v>18</v>
      </c>
      <c r="Q10" s="27" t="s">
        <v>18</v>
      </c>
      <c r="R10" s="27" t="s">
        <v>19</v>
      </c>
      <c r="S10" s="27" t="s">
        <v>18</v>
      </c>
      <c r="T10" s="27" t="s">
        <v>18</v>
      </c>
      <c r="U10" s="27" t="s">
        <v>19</v>
      </c>
      <c r="V10" s="27" t="s">
        <v>18</v>
      </c>
      <c r="W10" s="27" t="s">
        <v>18</v>
      </c>
      <c r="X10" s="29" t="s">
        <v>18</v>
      </c>
      <c r="Y10" s="4"/>
    </row>
    <row r="11">
      <c r="A11" s="4"/>
      <c r="B11" s="33" t="s">
        <v>20</v>
      </c>
      <c r="C11" s="34" t="s">
        <v>21</v>
      </c>
      <c r="D11" s="35"/>
      <c r="E11" s="36"/>
      <c r="F11" s="37">
        <v>1.0</v>
      </c>
      <c r="G11" s="38"/>
      <c r="H11" s="38">
        <v>7.0</v>
      </c>
      <c r="I11" s="38">
        <v>5.0</v>
      </c>
      <c r="J11" s="38"/>
      <c r="K11" s="38">
        <v>5.0</v>
      </c>
      <c r="L11" s="38">
        <v>3.0</v>
      </c>
      <c r="M11" s="38">
        <v>3.0</v>
      </c>
      <c r="N11" s="39">
        <v>5.0</v>
      </c>
      <c r="O11" s="39"/>
      <c r="P11" s="39">
        <v>0.0</v>
      </c>
      <c r="Q11" s="39">
        <v>0.0</v>
      </c>
      <c r="R11" s="39"/>
      <c r="S11" s="39">
        <v>0.0</v>
      </c>
      <c r="T11" s="39">
        <v>0.0</v>
      </c>
      <c r="U11" s="38"/>
      <c r="V11" s="38">
        <v>7.0</v>
      </c>
      <c r="W11" s="38">
        <v>1.0</v>
      </c>
      <c r="X11" s="40">
        <v>3.0</v>
      </c>
      <c r="Y11" s="4"/>
    </row>
    <row r="12">
      <c r="A12" s="4"/>
      <c r="B12" s="41"/>
      <c r="C12" s="42" t="s">
        <v>22</v>
      </c>
      <c r="D12" s="35"/>
      <c r="E12" s="36"/>
      <c r="F12" s="43"/>
      <c r="G12" s="44"/>
      <c r="H12" s="44"/>
      <c r="I12" s="44"/>
      <c r="J12" s="44"/>
      <c r="K12" s="44"/>
      <c r="L12" s="44"/>
      <c r="M12" s="44"/>
      <c r="N12" s="45">
        <v>2.0</v>
      </c>
      <c r="O12" s="45"/>
      <c r="P12" s="45">
        <v>3.0</v>
      </c>
      <c r="Q12" s="45">
        <v>3.0</v>
      </c>
      <c r="R12" s="46"/>
      <c r="S12" s="46">
        <v>5.0</v>
      </c>
      <c r="T12" s="45">
        <v>3.0</v>
      </c>
      <c r="U12" s="44"/>
      <c r="V12" s="44"/>
      <c r="W12" s="44"/>
      <c r="X12" s="47">
        <v>2.0</v>
      </c>
      <c r="Y12" s="4"/>
    </row>
    <row r="13">
      <c r="A13" s="4"/>
      <c r="B13" s="41"/>
      <c r="C13" s="34" t="s">
        <v>23</v>
      </c>
      <c r="D13" s="35"/>
      <c r="E13" s="36"/>
      <c r="F13" s="37"/>
      <c r="G13" s="38"/>
      <c r="H13" s="38"/>
      <c r="I13" s="38"/>
      <c r="J13" s="38"/>
      <c r="K13" s="38"/>
      <c r="L13" s="38"/>
      <c r="M13" s="38"/>
      <c r="N13" s="39">
        <v>2.0</v>
      </c>
      <c r="O13" s="39"/>
      <c r="P13" s="39">
        <v>3.0</v>
      </c>
      <c r="Q13" s="39">
        <v>3.0</v>
      </c>
      <c r="R13" s="48"/>
      <c r="S13" s="48">
        <v>5.0</v>
      </c>
      <c r="T13" s="39">
        <v>3.0</v>
      </c>
      <c r="U13" s="38"/>
      <c r="V13" s="38"/>
      <c r="W13" s="38"/>
      <c r="X13" s="40">
        <v>2.0</v>
      </c>
      <c r="Y13" s="4"/>
    </row>
    <row r="14">
      <c r="A14" s="4"/>
      <c r="B14" s="41"/>
      <c r="C14" s="42" t="s">
        <v>24</v>
      </c>
      <c r="D14" s="35"/>
      <c r="E14" s="36"/>
      <c r="F14" s="43"/>
      <c r="G14" s="44"/>
      <c r="H14" s="44"/>
      <c r="I14" s="44"/>
      <c r="J14" s="44"/>
      <c r="K14" s="44"/>
      <c r="L14" s="44"/>
      <c r="M14" s="44"/>
      <c r="N14" s="45">
        <v>2.0</v>
      </c>
      <c r="O14" s="45"/>
      <c r="P14" s="45">
        <v>3.0</v>
      </c>
      <c r="Q14" s="45">
        <v>3.0</v>
      </c>
      <c r="R14" s="46"/>
      <c r="S14" s="46">
        <v>5.0</v>
      </c>
      <c r="T14" s="45">
        <v>3.0</v>
      </c>
      <c r="U14" s="44"/>
      <c r="V14" s="44"/>
      <c r="W14" s="44"/>
      <c r="X14" s="47">
        <v>2.0</v>
      </c>
      <c r="Y14" s="4"/>
    </row>
    <row r="15">
      <c r="A15" s="4"/>
      <c r="B15" s="41"/>
      <c r="C15" s="49" t="s">
        <v>25</v>
      </c>
      <c r="D15" s="35"/>
      <c r="E15" s="36"/>
      <c r="F15" s="37"/>
      <c r="G15" s="38"/>
      <c r="H15" s="38"/>
      <c r="I15" s="38"/>
      <c r="J15" s="38"/>
      <c r="K15" s="38"/>
      <c r="L15" s="38"/>
      <c r="M15" s="38"/>
      <c r="N15" s="39">
        <v>2.0</v>
      </c>
      <c r="O15" s="39"/>
      <c r="P15" s="39">
        <v>3.0</v>
      </c>
      <c r="Q15" s="39">
        <v>3.0</v>
      </c>
      <c r="R15" s="39"/>
      <c r="S15" s="39">
        <v>7.0</v>
      </c>
      <c r="T15" s="39">
        <v>3.0</v>
      </c>
      <c r="U15" s="38"/>
      <c r="V15" s="38"/>
      <c r="W15" s="38"/>
      <c r="X15" s="40">
        <v>3.0</v>
      </c>
      <c r="Y15" s="4"/>
    </row>
    <row r="16">
      <c r="A16" s="4"/>
      <c r="B16" s="41"/>
      <c r="C16" s="42" t="s">
        <v>26</v>
      </c>
      <c r="D16" s="35"/>
      <c r="E16" s="36"/>
      <c r="F16" s="43"/>
      <c r="G16" s="44"/>
      <c r="H16" s="44"/>
      <c r="I16" s="44"/>
      <c r="J16" s="44"/>
      <c r="K16" s="44"/>
      <c r="L16" s="44"/>
      <c r="M16" s="44"/>
      <c r="N16" s="45">
        <v>2.0</v>
      </c>
      <c r="O16" s="45"/>
      <c r="P16" s="45">
        <v>3.0</v>
      </c>
      <c r="Q16" s="45">
        <v>3.0</v>
      </c>
      <c r="R16" s="46"/>
      <c r="S16" s="46">
        <v>5.0</v>
      </c>
      <c r="T16" s="45">
        <v>3.0</v>
      </c>
      <c r="U16" s="44"/>
      <c r="V16" s="44"/>
      <c r="W16" s="44"/>
      <c r="X16" s="47">
        <v>2.0</v>
      </c>
      <c r="Y16" s="4"/>
    </row>
    <row r="17">
      <c r="A17" s="4"/>
      <c r="B17" s="41"/>
      <c r="C17" s="49" t="s">
        <v>27</v>
      </c>
      <c r="D17" s="35"/>
      <c r="E17" s="36"/>
      <c r="F17" s="37"/>
      <c r="G17" s="38"/>
      <c r="H17" s="38"/>
      <c r="I17" s="38"/>
      <c r="J17" s="38"/>
      <c r="K17" s="38"/>
      <c r="L17" s="38"/>
      <c r="M17" s="38"/>
      <c r="N17" s="39">
        <v>2.0</v>
      </c>
      <c r="O17" s="39"/>
      <c r="P17" s="39">
        <v>3.0</v>
      </c>
      <c r="Q17" s="39">
        <v>3.0</v>
      </c>
      <c r="R17" s="48"/>
      <c r="S17" s="48">
        <v>5.0</v>
      </c>
      <c r="T17" s="39">
        <v>3.0</v>
      </c>
      <c r="U17" s="38"/>
      <c r="V17" s="38"/>
      <c r="W17" s="38"/>
      <c r="X17" s="40">
        <v>2.0</v>
      </c>
      <c r="Y17" s="4"/>
    </row>
    <row r="18">
      <c r="A18" s="4"/>
      <c r="B18" s="41"/>
      <c r="C18" s="42" t="s">
        <v>28</v>
      </c>
      <c r="D18" s="35"/>
      <c r="E18" s="36"/>
      <c r="F18" s="43"/>
      <c r="G18" s="44"/>
      <c r="H18" s="44"/>
      <c r="I18" s="44"/>
      <c r="J18" s="44"/>
      <c r="K18" s="44"/>
      <c r="L18" s="44"/>
      <c r="M18" s="44"/>
      <c r="N18" s="45">
        <v>2.0</v>
      </c>
      <c r="O18" s="45"/>
      <c r="P18" s="45">
        <v>3.0</v>
      </c>
      <c r="Q18" s="45">
        <v>3.0</v>
      </c>
      <c r="R18" s="46"/>
      <c r="S18" s="46">
        <v>5.0</v>
      </c>
      <c r="T18" s="45">
        <v>3.0</v>
      </c>
      <c r="U18" s="44"/>
      <c r="V18" s="44"/>
      <c r="W18" s="44"/>
      <c r="X18" s="47">
        <v>3.0</v>
      </c>
      <c r="Y18" s="4"/>
    </row>
    <row r="19">
      <c r="A19" s="4"/>
      <c r="B19" s="41"/>
      <c r="C19" s="49" t="s">
        <v>29</v>
      </c>
      <c r="D19" s="35"/>
      <c r="E19" s="36"/>
      <c r="F19" s="37"/>
      <c r="G19" s="38"/>
      <c r="H19" s="38"/>
      <c r="I19" s="38"/>
      <c r="J19" s="38"/>
      <c r="K19" s="38"/>
      <c r="L19" s="38"/>
      <c r="M19" s="38"/>
      <c r="N19" s="39">
        <v>2.0</v>
      </c>
      <c r="O19" s="39"/>
      <c r="P19" s="39">
        <v>3.0</v>
      </c>
      <c r="Q19" s="39">
        <v>3.0</v>
      </c>
      <c r="R19" s="48"/>
      <c r="S19" s="48">
        <v>5.0</v>
      </c>
      <c r="T19" s="39">
        <v>3.0</v>
      </c>
      <c r="U19" s="38"/>
      <c r="V19" s="38"/>
      <c r="W19" s="38"/>
      <c r="X19" s="40">
        <v>1.0</v>
      </c>
      <c r="Y19" s="4"/>
    </row>
    <row r="20">
      <c r="A20" s="4"/>
      <c r="B20" s="41"/>
      <c r="C20" s="50" t="s">
        <v>30</v>
      </c>
      <c r="D20" s="50"/>
      <c r="E20" s="51"/>
      <c r="F20" s="43"/>
      <c r="G20" s="44"/>
      <c r="H20" s="44"/>
      <c r="I20" s="44"/>
      <c r="J20" s="44"/>
      <c r="K20" s="44"/>
      <c r="L20" s="44"/>
      <c r="M20" s="44"/>
      <c r="N20" s="45">
        <v>2.0</v>
      </c>
      <c r="O20" s="45"/>
      <c r="P20" s="45">
        <v>3.0</v>
      </c>
      <c r="Q20" s="45">
        <v>3.0</v>
      </c>
      <c r="R20" s="45"/>
      <c r="S20" s="45">
        <v>7.0</v>
      </c>
      <c r="T20" s="45">
        <v>3.0</v>
      </c>
      <c r="U20" s="44"/>
      <c r="V20" s="44"/>
      <c r="W20" s="44"/>
      <c r="X20" s="52">
        <v>3.0</v>
      </c>
      <c r="Y20" s="4"/>
    </row>
    <row r="21" ht="15.75" customHeight="1">
      <c r="A21" s="4"/>
      <c r="B21" s="41"/>
      <c r="C21" s="49" t="s">
        <v>31</v>
      </c>
      <c r="D21" s="35"/>
      <c r="E21" s="36"/>
      <c r="F21" s="37"/>
      <c r="G21" s="38"/>
      <c r="H21" s="38"/>
      <c r="I21" s="38"/>
      <c r="J21" s="38"/>
      <c r="K21" s="38"/>
      <c r="L21" s="38"/>
      <c r="M21" s="38"/>
      <c r="N21" s="39">
        <v>2.0</v>
      </c>
      <c r="O21" s="39"/>
      <c r="P21" s="39">
        <v>3.0</v>
      </c>
      <c r="Q21" s="39">
        <v>3.0</v>
      </c>
      <c r="R21" s="39"/>
      <c r="S21" s="39">
        <v>7.0</v>
      </c>
      <c r="T21" s="39">
        <v>3.0</v>
      </c>
      <c r="U21" s="38"/>
      <c r="V21" s="38"/>
      <c r="W21" s="38"/>
      <c r="X21" s="53">
        <v>3.0</v>
      </c>
      <c r="Y21" s="4"/>
    </row>
    <row r="22" ht="15.75" customHeight="1">
      <c r="A22" s="4"/>
      <c r="B22" s="41"/>
      <c r="C22" s="42" t="s">
        <v>32</v>
      </c>
      <c r="D22" s="35"/>
      <c r="E22" s="36"/>
      <c r="F22" s="43"/>
      <c r="G22" s="44"/>
      <c r="H22" s="44"/>
      <c r="I22" s="44"/>
      <c r="J22" s="44"/>
      <c r="K22" s="44"/>
      <c r="L22" s="44"/>
      <c r="M22" s="44"/>
      <c r="N22" s="45">
        <v>2.0</v>
      </c>
      <c r="O22" s="45"/>
      <c r="P22" s="45">
        <v>3.0</v>
      </c>
      <c r="Q22" s="45">
        <v>3.0</v>
      </c>
      <c r="R22" s="45"/>
      <c r="S22" s="45">
        <v>5.0</v>
      </c>
      <c r="T22" s="45">
        <v>3.0</v>
      </c>
      <c r="U22" s="44"/>
      <c r="V22" s="44"/>
      <c r="W22" s="44"/>
      <c r="X22" s="47">
        <v>1.0</v>
      </c>
      <c r="Y22" s="4"/>
    </row>
    <row r="23" ht="15.75" customHeight="1">
      <c r="A23" s="4"/>
      <c r="B23" s="41"/>
      <c r="C23" s="49" t="s">
        <v>33</v>
      </c>
      <c r="D23" s="35"/>
      <c r="E23" s="36"/>
      <c r="F23" s="37"/>
      <c r="G23" s="38"/>
      <c r="H23" s="38"/>
      <c r="I23" s="38"/>
      <c r="J23" s="38"/>
      <c r="K23" s="38"/>
      <c r="L23" s="38"/>
      <c r="M23" s="38"/>
      <c r="N23" s="39">
        <v>2.0</v>
      </c>
      <c r="O23" s="39"/>
      <c r="P23" s="39">
        <v>3.0</v>
      </c>
      <c r="Q23" s="39">
        <v>3.0</v>
      </c>
      <c r="R23" s="48"/>
      <c r="S23" s="48">
        <v>7.0</v>
      </c>
      <c r="T23" s="39">
        <v>3.0</v>
      </c>
      <c r="U23" s="38"/>
      <c r="V23" s="38"/>
      <c r="W23" s="38"/>
      <c r="X23" s="40">
        <v>2.0</v>
      </c>
      <c r="Y23" s="4"/>
    </row>
    <row r="24" ht="15.75" customHeight="1">
      <c r="A24" s="4"/>
      <c r="B24" s="41"/>
      <c r="C24" s="42" t="s">
        <v>34</v>
      </c>
      <c r="D24" s="35"/>
      <c r="E24" s="36"/>
      <c r="F24" s="43"/>
      <c r="G24" s="44"/>
      <c r="H24" s="44"/>
      <c r="I24" s="44"/>
      <c r="J24" s="44"/>
      <c r="K24" s="44"/>
      <c r="L24" s="44"/>
      <c r="M24" s="44"/>
      <c r="N24" s="45">
        <v>2.0</v>
      </c>
      <c r="O24" s="45"/>
      <c r="P24" s="45">
        <v>3.0</v>
      </c>
      <c r="Q24" s="45">
        <v>3.0</v>
      </c>
      <c r="R24" s="45"/>
      <c r="S24" s="45">
        <v>7.0</v>
      </c>
      <c r="T24" s="45">
        <v>3.0</v>
      </c>
      <c r="U24" s="44"/>
      <c r="V24" s="44"/>
      <c r="W24" s="44"/>
      <c r="X24" s="47">
        <v>2.0</v>
      </c>
      <c r="Y24" s="4"/>
    </row>
    <row r="25" ht="15.75" customHeight="1">
      <c r="A25" s="4"/>
      <c r="B25" s="41"/>
      <c r="C25" s="49" t="s">
        <v>35</v>
      </c>
      <c r="D25" s="35"/>
      <c r="E25" s="36"/>
      <c r="F25" s="37"/>
      <c r="G25" s="38"/>
      <c r="H25" s="38"/>
      <c r="I25" s="38"/>
      <c r="J25" s="38"/>
      <c r="K25" s="38"/>
      <c r="L25" s="38"/>
      <c r="M25" s="38"/>
      <c r="N25" s="39">
        <v>2.0</v>
      </c>
      <c r="O25" s="39"/>
      <c r="P25" s="39">
        <v>3.0</v>
      </c>
      <c r="Q25" s="39">
        <v>3.0</v>
      </c>
      <c r="R25" s="39"/>
      <c r="S25" s="39">
        <v>7.0</v>
      </c>
      <c r="T25" s="39">
        <v>3.0</v>
      </c>
      <c r="U25" s="38"/>
      <c r="V25" s="38"/>
      <c r="W25" s="38"/>
      <c r="X25" s="40">
        <v>2.0</v>
      </c>
      <c r="Y25" s="4"/>
    </row>
    <row r="26" ht="15.75" customHeight="1">
      <c r="A26" s="4"/>
      <c r="B26" s="41"/>
      <c r="C26" s="42" t="s">
        <v>36</v>
      </c>
      <c r="D26" s="35"/>
      <c r="E26" s="36"/>
      <c r="F26" s="43"/>
      <c r="G26" s="44"/>
      <c r="H26" s="44"/>
      <c r="I26" s="44"/>
      <c r="J26" s="44"/>
      <c r="K26" s="44"/>
      <c r="L26" s="44"/>
      <c r="M26" s="44"/>
      <c r="N26" s="45">
        <v>2.0</v>
      </c>
      <c r="O26" s="45"/>
      <c r="P26" s="45">
        <v>3.0</v>
      </c>
      <c r="Q26" s="45">
        <v>3.0</v>
      </c>
      <c r="R26" s="45"/>
      <c r="S26" s="45">
        <v>7.0</v>
      </c>
      <c r="T26" s="45">
        <v>3.0</v>
      </c>
      <c r="U26" s="44"/>
      <c r="V26" s="44"/>
      <c r="W26" s="44"/>
      <c r="X26" s="47">
        <v>2.0</v>
      </c>
      <c r="Y26" s="4"/>
    </row>
    <row r="27" ht="15.75" customHeight="1">
      <c r="A27" s="54"/>
      <c r="B27" s="41"/>
      <c r="C27" s="49" t="s">
        <v>37</v>
      </c>
      <c r="D27" s="35"/>
      <c r="E27" s="36"/>
      <c r="F27" s="37"/>
      <c r="G27" s="38"/>
      <c r="H27" s="38"/>
      <c r="I27" s="38"/>
      <c r="J27" s="38"/>
      <c r="K27" s="38"/>
      <c r="L27" s="38"/>
      <c r="M27" s="38"/>
      <c r="N27" s="39">
        <v>2.0</v>
      </c>
      <c r="O27" s="39"/>
      <c r="P27" s="39">
        <v>3.0</v>
      </c>
      <c r="Q27" s="39">
        <v>3.0</v>
      </c>
      <c r="R27" s="39"/>
      <c r="S27" s="39">
        <v>5.0</v>
      </c>
      <c r="T27" s="39">
        <v>3.0</v>
      </c>
      <c r="U27" s="38"/>
      <c r="V27" s="38"/>
      <c r="W27" s="38"/>
      <c r="X27" s="40">
        <v>1.0</v>
      </c>
      <c r="Y27" s="4"/>
    </row>
    <row r="28" ht="15.75" customHeight="1">
      <c r="A28" s="4"/>
      <c r="B28" s="55"/>
      <c r="C28" s="56" t="s">
        <v>38</v>
      </c>
      <c r="D28" s="21"/>
      <c r="E28" s="22"/>
      <c r="F28" s="57"/>
      <c r="G28" s="58"/>
      <c r="H28" s="58"/>
      <c r="I28" s="58"/>
      <c r="J28" s="58"/>
      <c r="K28" s="58"/>
      <c r="L28" s="58"/>
      <c r="M28" s="58"/>
      <c r="N28" s="59">
        <v>1.0</v>
      </c>
      <c r="O28" s="59"/>
      <c r="P28" s="59">
        <v>1.0</v>
      </c>
      <c r="Q28" s="59">
        <v>1.0</v>
      </c>
      <c r="R28" s="59"/>
      <c r="S28" s="59">
        <v>3.0</v>
      </c>
      <c r="T28" s="59">
        <v>3.0</v>
      </c>
      <c r="U28" s="58"/>
      <c r="V28" s="58"/>
      <c r="W28" s="58"/>
      <c r="X28" s="60">
        <v>1.0</v>
      </c>
      <c r="Y28" s="4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C17:E17"/>
    <mergeCell ref="C18:E18"/>
    <mergeCell ref="C19:E19"/>
    <mergeCell ref="C21:E21"/>
    <mergeCell ref="C22:E22"/>
    <mergeCell ref="C23:E23"/>
    <mergeCell ref="C24:E24"/>
    <mergeCell ref="C25:E25"/>
    <mergeCell ref="C26:E26"/>
    <mergeCell ref="C27:E27"/>
    <mergeCell ref="B2:E4"/>
    <mergeCell ref="B6:D6"/>
    <mergeCell ref="B7:C7"/>
    <mergeCell ref="B8:C8"/>
    <mergeCell ref="B9:D9"/>
    <mergeCell ref="B10:E10"/>
    <mergeCell ref="B11:B28"/>
    <mergeCell ref="C28:E28"/>
    <mergeCell ref="O5:Q8"/>
    <mergeCell ref="R5:T8"/>
    <mergeCell ref="U5:V8"/>
    <mergeCell ref="W5:W8"/>
    <mergeCell ref="G9:H9"/>
    <mergeCell ref="J9:K9"/>
    <mergeCell ref="O9:P9"/>
    <mergeCell ref="R9:S9"/>
    <mergeCell ref="U9:V9"/>
    <mergeCell ref="F2:X3"/>
    <mergeCell ref="F5:F8"/>
    <mergeCell ref="G5:I8"/>
    <mergeCell ref="J5:L8"/>
    <mergeCell ref="M5:M8"/>
    <mergeCell ref="N5:N8"/>
    <mergeCell ref="X5:X8"/>
    <mergeCell ref="C11:E11"/>
    <mergeCell ref="C12:E12"/>
    <mergeCell ref="C13:E13"/>
    <mergeCell ref="C14:E14"/>
    <mergeCell ref="C15:E15"/>
    <mergeCell ref="C16:E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3" max="4" width="2.0"/>
    <col customWidth="1" min="5" max="14" width="5.13"/>
    <col customWidth="1" min="15" max="16" width="4.5"/>
    <col customWidth="1" min="17" max="17" width="8.88"/>
    <col customWidth="1" min="18" max="18" width="2.63"/>
  </cols>
  <sheetData>
    <row r="1">
      <c r="A1" s="61" t="str">
        <f>'TERMIN - DANE'!B2</f>
        <v/>
      </c>
      <c r="G1" s="2"/>
      <c r="H1" s="2"/>
      <c r="I1" s="2"/>
      <c r="J1" s="1"/>
      <c r="K1" s="1"/>
      <c r="L1" s="1"/>
      <c r="M1" s="1"/>
      <c r="N1" s="1"/>
      <c r="O1" s="1"/>
      <c r="P1" s="62" t="s">
        <v>39</v>
      </c>
      <c r="Q1" s="63">
        <f>TODAY()</f>
        <v>46211</v>
      </c>
      <c r="R1" s="64"/>
    </row>
    <row r="2">
      <c r="G2" s="2"/>
      <c r="H2" s="2"/>
      <c r="I2" s="2"/>
      <c r="J2" s="1"/>
      <c r="K2" s="1"/>
      <c r="L2" s="1"/>
      <c r="M2" s="1"/>
      <c r="N2" s="1"/>
      <c r="O2" s="1"/>
      <c r="P2" s="1"/>
      <c r="Q2" s="65"/>
      <c r="R2" s="1"/>
    </row>
    <row r="3">
      <c r="G3" s="2"/>
      <c r="H3" s="2"/>
      <c r="I3" s="2"/>
      <c r="J3" s="1"/>
      <c r="K3" s="1"/>
      <c r="L3" s="1"/>
      <c r="M3" s="1"/>
      <c r="N3" s="1"/>
      <c r="O3" s="1"/>
      <c r="P3" s="66" t="s">
        <v>40</v>
      </c>
      <c r="Q3" s="67"/>
      <c r="R3" s="68" t="s">
        <v>41</v>
      </c>
    </row>
    <row r="4"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</row>
    <row r="5">
      <c r="G5" s="2"/>
      <c r="H5" s="2"/>
      <c r="I5" s="2"/>
      <c r="J5" s="1"/>
      <c r="K5" s="67"/>
      <c r="L5" s="69" t="s">
        <v>42</v>
      </c>
      <c r="M5" s="62"/>
      <c r="N5" s="70"/>
      <c r="O5" s="13"/>
      <c r="P5" s="13"/>
      <c r="Q5" s="13"/>
      <c r="R5" s="64"/>
    </row>
    <row r="6">
      <c r="A6" s="71" t="s">
        <v>43</v>
      </c>
    </row>
    <row r="9" ht="14.25" customHeight="1">
      <c r="A9" s="72"/>
      <c r="B9" s="73" t="s">
        <v>20</v>
      </c>
      <c r="C9" s="74"/>
      <c r="D9" s="75"/>
      <c r="E9" s="76" t="str">
        <f>'TERMIN - DANE'!F5</f>
        <v>INWENTARYZACJA</v>
      </c>
      <c r="F9" s="76" t="str">
        <f>'TERMIN - DANE'!G5</f>
        <v>RZUTY FUNKCJONALNE</v>
      </c>
      <c r="G9" s="76" t="str">
        <f>'TERMIN - DANE'!J5</f>
        <v>FINALNY RZUT FUNKCJONALNY</v>
      </c>
      <c r="H9" s="76" t="str">
        <f>'TERMIN - DANE'!M11&amp;" "  &amp;'TERMIN - DANE'!M5</f>
        <v>3 SPOTKANIA</v>
      </c>
      <c r="I9" s="76" t="str">
        <f>'TERMIN - DANE'!N5</f>
        <v>INSPIRACJE</v>
      </c>
      <c r="J9" s="76" t="str">
        <f>'TERMIN - DANE'!O5</f>
        <v>MOODBOARD</v>
      </c>
      <c r="K9" s="76" t="str">
        <f>'TERMIN - DANE'!R5</f>
        <v>WIZUALIZACJE 3D</v>
      </c>
      <c r="L9" s="76" t="str">
        <f>'TERMIN - DANE'!U5</f>
        <v>RYSUNKI TECHNICZNE</v>
      </c>
      <c r="M9" s="76" t="str">
        <f>'TERMIN - DANE'!W5</f>
        <v>TECZKA PROJEKTOWA</v>
      </c>
      <c r="N9" s="76" t="str">
        <f>'TERMIN - DANE'!X5</f>
        <v>KOMUNIKACJA PROJEKTOWA</v>
      </c>
      <c r="O9" s="77" t="s">
        <v>44</v>
      </c>
      <c r="P9" s="74"/>
      <c r="Q9" s="75"/>
      <c r="R9" s="2"/>
    </row>
    <row r="10" ht="14.25" customHeight="1">
      <c r="A10" s="72"/>
      <c r="B10" s="78"/>
      <c r="D10" s="79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78"/>
      <c r="Q10" s="79"/>
      <c r="R10" s="2"/>
    </row>
    <row r="11" ht="14.25" customHeight="1">
      <c r="A11" s="72"/>
      <c r="B11" s="78"/>
      <c r="D11" s="79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P11" s="35"/>
      <c r="Q11" s="26"/>
      <c r="R11" s="2"/>
    </row>
    <row r="12" ht="14.25" customHeight="1">
      <c r="A12" s="72"/>
      <c r="B12" s="78"/>
      <c r="D12" s="79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77" t="s">
        <v>45</v>
      </c>
      <c r="P12" s="75"/>
      <c r="Q12" s="82" t="s">
        <v>46</v>
      </c>
      <c r="R12" s="2"/>
    </row>
    <row r="13" ht="14.25" customHeight="1">
      <c r="A13" s="72"/>
      <c r="B13" s="78"/>
      <c r="D13" s="79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78"/>
      <c r="P13" s="79"/>
      <c r="Q13" s="80"/>
      <c r="R13" s="2"/>
    </row>
    <row r="14" ht="14.25" customHeight="1">
      <c r="A14" s="72"/>
      <c r="B14" s="81"/>
      <c r="C14" s="35"/>
      <c r="D14" s="26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1"/>
      <c r="P14" s="26"/>
      <c r="Q14" s="83"/>
      <c r="R14" s="2"/>
    </row>
    <row r="15">
      <c r="A15" s="72"/>
      <c r="B15" s="34" t="str">
        <f>'TERMIN - DANE'!C11</f>
        <v>Cały projekt</v>
      </c>
      <c r="C15" s="84"/>
      <c r="D15" s="85"/>
      <c r="E15" s="86" t="s">
        <v>47</v>
      </c>
      <c r="F15" s="86" t="s">
        <v>47</v>
      </c>
      <c r="G15" s="86" t="s">
        <v>47</v>
      </c>
      <c r="H15" s="86" t="s">
        <v>47</v>
      </c>
      <c r="I15" s="87" t="s">
        <v>47</v>
      </c>
      <c r="J15" s="87" t="s">
        <v>48</v>
      </c>
      <c r="K15" s="87" t="s">
        <v>48</v>
      </c>
      <c r="L15" s="86" t="s">
        <v>48</v>
      </c>
      <c r="M15" s="86" t="s">
        <v>48</v>
      </c>
      <c r="N15" s="87" t="s">
        <v>48</v>
      </c>
      <c r="O15" s="88">
        <f> (IF(E15="TAK", 'TERMIN - DANE'!F11,0) + IF(F15="TAK", 'TERMIN - DANE'!H11,0) + IF(G15="TAK",'TERMIN - DANE'!K11,0) + IF(J15="TAK", 'TERMIN - DANE'!P11,0)+IF(K15="TAK", 'TERMIN - DANE'!S11,0)+ IF(L15="TAK", 'TERMIN - DANE'!V11,0) + IF(M15="TAK", 'TERMIN - DANE'!W11,0))</f>
        <v>13</v>
      </c>
      <c r="P15" s="26"/>
      <c r="Q15" s="89">
        <f> (IF(F15="TAK", 'TERMIN - DANE'!I11,0) + IF(G15="TAK", 'TERMIN - DANE'!L11,0) + IF(H15="TAK", 'TERMIN - DANE'!M11,0) + IF(I15="TAK", 'TERMIN - DANE'!N11,0) + IF(I16="TAK", 'TERMIN - DANE'!N12,0) + IF(J15="TAK", 'TERMIN - DANE'!Q11,0) + IF(K15="TAK", 'TERMIN - DANE'!T11) + IF(N15="TAK", 'TERMIN - DANE'!X11))</f>
        <v>18</v>
      </c>
      <c r="R15" s="2"/>
    </row>
    <row r="16">
      <c r="A16" s="72"/>
      <c r="B16" s="90" t="str">
        <f>'TERMIN - DANE'!C12</f>
        <v>Sień/Hol</v>
      </c>
      <c r="C16" s="91" t="s">
        <v>49</v>
      </c>
      <c r="D16" s="92">
        <v>1.0</v>
      </c>
      <c r="E16" s="93"/>
      <c r="F16" s="94"/>
      <c r="G16" s="94"/>
      <c r="H16" s="95"/>
      <c r="I16" s="96" t="s">
        <v>47</v>
      </c>
      <c r="J16" s="97" t="s">
        <v>48</v>
      </c>
      <c r="K16" s="98" t="s">
        <v>47</v>
      </c>
      <c r="L16" s="99"/>
      <c r="M16" s="100"/>
      <c r="N16" s="96" t="s">
        <v>48</v>
      </c>
      <c r="O16" s="101">
        <f>(IF(J16="TAK", 'TERMIN - DANE'!P12,0)+IF(K16="TAK", 'TERMIN - DANE'!S12,0))*D16</f>
        <v>5</v>
      </c>
      <c r="P16" s="26"/>
      <c r="Q16" s="102">
        <f>(IF(I16="TAK", 'TERMIN - DANE'!N12,0)+IF(J16="TAK", 'TERMIN - DANE'!Q12,0)+IF(K16="TAK", 'TERMIN - DANE'!T12) + IF(N16="TAK", 'TERMIN - DANE'!X12))*D16</f>
        <v>5</v>
      </c>
      <c r="R16" s="2"/>
    </row>
    <row r="17">
      <c r="A17" s="72"/>
      <c r="B17" s="103" t="str">
        <f>'TERMIN - DANE'!C13</f>
        <v>Hol wejściowy</v>
      </c>
      <c r="C17" s="104" t="s">
        <v>49</v>
      </c>
      <c r="D17" s="105">
        <v>1.0</v>
      </c>
      <c r="E17" s="106"/>
      <c r="F17" s="4"/>
      <c r="G17" s="4"/>
      <c r="H17" s="107"/>
      <c r="I17" s="108" t="s">
        <v>47</v>
      </c>
      <c r="J17" s="87" t="s">
        <v>47</v>
      </c>
      <c r="K17" s="109" t="s">
        <v>47</v>
      </c>
      <c r="L17" s="110"/>
      <c r="M17" s="111"/>
      <c r="N17" s="108" t="s">
        <v>48</v>
      </c>
      <c r="O17" s="112">
        <f>(IF(J17="TAK", 'TERMIN - DANE'!P13,0)+IF(K17="TAK", 'TERMIN - DANE'!S13,0))*D17</f>
        <v>8</v>
      </c>
      <c r="P17" s="26"/>
      <c r="Q17" s="39">
        <f>(IF(I17="TAK", 'TERMIN - DANE'!N13,0)+IF(J17="TAK", 'TERMIN - DANE'!Q13,0)+IF(K17="TAK", 'TERMIN - DANE'!T13) + IF(N17="TAK", 'TERMIN - DANE'!X13))*D17</f>
        <v>8</v>
      </c>
      <c r="R17" s="2"/>
    </row>
    <row r="18">
      <c r="A18" s="72"/>
      <c r="B18" s="90" t="str">
        <f>'TERMIN - DANE'!C14</f>
        <v>Korytarz</v>
      </c>
      <c r="C18" s="91" t="s">
        <v>49</v>
      </c>
      <c r="D18" s="92">
        <v>1.0</v>
      </c>
      <c r="E18" s="113"/>
      <c r="F18" s="114"/>
      <c r="G18" s="114"/>
      <c r="H18" s="115"/>
      <c r="I18" s="96" t="s">
        <v>48</v>
      </c>
      <c r="J18" s="97" t="s">
        <v>48</v>
      </c>
      <c r="K18" s="98" t="s">
        <v>47</v>
      </c>
      <c r="L18" s="116"/>
      <c r="M18" s="117"/>
      <c r="N18" s="96" t="s">
        <v>48</v>
      </c>
      <c r="O18" s="101">
        <f>(IF(J18="TAK", 'TERMIN - DANE'!P14,0)+IF(K18="TAK", 'TERMIN - DANE'!S14,0))*D18</f>
        <v>5</v>
      </c>
      <c r="P18" s="26"/>
      <c r="Q18" s="102">
        <f>(IF(I18="TAK", 'TERMIN - DANE'!N14,0)+IF(J18="TAK", 'TERMIN - DANE'!Q14,0)+IF(K18="TAK", 'TERMIN - DANE'!T14) + IF(N18="TAK", 'TERMIN - DANE'!X14))*D18</f>
        <v>3</v>
      </c>
      <c r="R18" s="2"/>
    </row>
    <row r="19">
      <c r="A19" s="72"/>
      <c r="B19" s="103" t="str">
        <f>'TERMIN - DANE'!C15</f>
        <v>Kuchnia</v>
      </c>
      <c r="C19" s="104" t="s">
        <v>49</v>
      </c>
      <c r="D19" s="105">
        <v>1.0</v>
      </c>
      <c r="E19" s="106"/>
      <c r="F19" s="4"/>
      <c r="G19" s="4"/>
      <c r="H19" s="107"/>
      <c r="I19" s="108" t="s">
        <v>48</v>
      </c>
      <c r="J19" s="87" t="s">
        <v>47</v>
      </c>
      <c r="K19" s="109" t="s">
        <v>47</v>
      </c>
      <c r="L19" s="110"/>
      <c r="M19" s="111"/>
      <c r="N19" s="108" t="s">
        <v>48</v>
      </c>
      <c r="O19" s="112">
        <f>(IF(J19="TAK", 'TERMIN - DANE'!P15,0)+IF(K19="TAK", 'TERMIN - DANE'!S15,0))*D19</f>
        <v>10</v>
      </c>
      <c r="P19" s="26"/>
      <c r="Q19" s="39">
        <f>(IF(I19="TAK", 'TERMIN - DANE'!N15,0)+IF(J19="TAK", 'TERMIN - DANE'!Q15,0)+IF(K19="TAK", 'TERMIN - DANE'!T15) + IF(N19="TAK", 'TERMIN - DANE'!X15))*D19</f>
        <v>6</v>
      </c>
      <c r="R19" s="2"/>
    </row>
    <row r="20">
      <c r="A20" s="72"/>
      <c r="B20" s="90" t="str">
        <f>'TERMIN - DANE'!C16</f>
        <v>Jadalnia</v>
      </c>
      <c r="C20" s="91" t="s">
        <v>49</v>
      </c>
      <c r="D20" s="92">
        <v>1.0</v>
      </c>
      <c r="E20" s="113"/>
      <c r="F20" s="114"/>
      <c r="G20" s="114"/>
      <c r="H20" s="115"/>
      <c r="I20" s="96" t="s">
        <v>48</v>
      </c>
      <c r="J20" s="97" t="s">
        <v>48</v>
      </c>
      <c r="K20" s="98" t="s">
        <v>47</v>
      </c>
      <c r="L20" s="116"/>
      <c r="M20" s="117"/>
      <c r="N20" s="96" t="s">
        <v>48</v>
      </c>
      <c r="O20" s="101">
        <f>(IF(J20="TAK", 'TERMIN - DANE'!P16,0)+IF(K20="TAK", 'TERMIN - DANE'!S16,0))*D20</f>
        <v>5</v>
      </c>
      <c r="P20" s="26"/>
      <c r="Q20" s="102">
        <f>(IF(I20="TAK", 'TERMIN - DANE'!N16,0)+IF(J20="TAK", 'TERMIN - DANE'!Q16,0)+IF(K20="TAK", 'TERMIN - DANE'!T16) + IF(N20="TAK", 'TERMIN - DANE'!X16))*D20</f>
        <v>3</v>
      </c>
      <c r="R20" s="2"/>
    </row>
    <row r="21" ht="15.75" customHeight="1">
      <c r="A21" s="72"/>
      <c r="B21" s="103" t="str">
        <f>'TERMIN - DANE'!C17</f>
        <v>Toaleta</v>
      </c>
      <c r="C21" s="104" t="s">
        <v>49</v>
      </c>
      <c r="D21" s="105">
        <v>1.0</v>
      </c>
      <c r="E21" s="106"/>
      <c r="F21" s="4"/>
      <c r="G21" s="4"/>
      <c r="H21" s="107"/>
      <c r="I21" s="108" t="s">
        <v>47</v>
      </c>
      <c r="J21" s="87" t="s">
        <v>48</v>
      </c>
      <c r="K21" s="109" t="s">
        <v>48</v>
      </c>
      <c r="L21" s="110"/>
      <c r="M21" s="111"/>
      <c r="N21" s="108" t="s">
        <v>48</v>
      </c>
      <c r="O21" s="112">
        <f>(IF(J21="TAK", 'TERMIN - DANE'!P17,0)+IF(K21="TAK", 'TERMIN - DANE'!S17,0))*D21</f>
        <v>0</v>
      </c>
      <c r="P21" s="26"/>
      <c r="Q21" s="39">
        <f>(IF(I21="TAK", 'TERMIN - DANE'!N17,0)+IF(J21="TAK", 'TERMIN - DANE'!Q17,0)+IF(K21="TAK", 'TERMIN - DANE'!T17) + IF(N21="TAK", 'TERMIN - DANE'!X17))*D21</f>
        <v>2</v>
      </c>
      <c r="R21" s="2"/>
    </row>
    <row r="22" ht="15.75" customHeight="1">
      <c r="A22" s="72"/>
      <c r="B22" s="90" t="str">
        <f>'TERMIN - DANE'!C18</f>
        <v>Łazienka</v>
      </c>
      <c r="C22" s="91" t="s">
        <v>49</v>
      </c>
      <c r="D22" s="92">
        <v>1.0</v>
      </c>
      <c r="E22" s="113"/>
      <c r="F22" s="114"/>
      <c r="G22" s="114"/>
      <c r="H22" s="115"/>
      <c r="I22" s="96" t="s">
        <v>48</v>
      </c>
      <c r="J22" s="97" t="s">
        <v>48</v>
      </c>
      <c r="K22" s="98" t="s">
        <v>48</v>
      </c>
      <c r="L22" s="116"/>
      <c r="M22" s="117"/>
      <c r="N22" s="96" t="s">
        <v>48</v>
      </c>
      <c r="O22" s="101">
        <f>(IF(J22="TAK", 'TERMIN - DANE'!P18,0)+IF(K22="TAK", 'TERMIN - DANE'!S18,0))*D22</f>
        <v>0</v>
      </c>
      <c r="P22" s="26"/>
      <c r="Q22" s="102">
        <f>(IF(I22="TAK", 'TERMIN - DANE'!N18,0)+IF(J22="TAK", 'TERMIN - DANE'!Q18,0)+IF(K22="TAK", 'TERMIN - DANE'!T18) + IF(N22="TAK", 'TERMIN - DANE'!X18))*D22</f>
        <v>0</v>
      </c>
      <c r="R22" s="2"/>
    </row>
    <row r="23" ht="15.75" customHeight="1">
      <c r="A23" s="72"/>
      <c r="B23" s="103" t="str">
        <f>'TERMIN - DANE'!C19</f>
        <v>Pralnia</v>
      </c>
      <c r="C23" s="104" t="s">
        <v>49</v>
      </c>
      <c r="D23" s="105">
        <v>1.0</v>
      </c>
      <c r="E23" s="106"/>
      <c r="F23" s="4"/>
      <c r="G23" s="4"/>
      <c r="H23" s="107"/>
      <c r="I23" s="108" t="s">
        <v>47</v>
      </c>
      <c r="J23" s="87" t="s">
        <v>48</v>
      </c>
      <c r="K23" s="109" t="s">
        <v>48</v>
      </c>
      <c r="L23" s="110"/>
      <c r="M23" s="111"/>
      <c r="N23" s="108" t="s">
        <v>48</v>
      </c>
      <c r="O23" s="112">
        <f>(IF(J23="TAK", 'TERMIN - DANE'!P19,0)+IF(K23="TAK", 'TERMIN - DANE'!S19,0))*D23</f>
        <v>0</v>
      </c>
      <c r="P23" s="26"/>
      <c r="Q23" s="39">
        <f>(IF(I23="TAK", 'TERMIN - DANE'!N19,0)+IF(J23="TAK", 'TERMIN - DANE'!Q19,0)+IF(K23="TAK", 'TERMIN - DANE'!T19) + IF(N23="TAK", 'TERMIN - DANE'!X19))*D23</f>
        <v>2</v>
      </c>
      <c r="R23" s="2"/>
    </row>
    <row r="24" ht="15.75" customHeight="1">
      <c r="A24" s="72"/>
      <c r="B24" s="90" t="str">
        <f>'TERMIN - DANE'!C20</f>
        <v>Salon</v>
      </c>
      <c r="C24" s="91" t="s">
        <v>49</v>
      </c>
      <c r="D24" s="92">
        <v>1.0</v>
      </c>
      <c r="E24" s="113"/>
      <c r="F24" s="114"/>
      <c r="G24" s="114"/>
      <c r="H24" s="115"/>
      <c r="I24" s="96" t="s">
        <v>48</v>
      </c>
      <c r="J24" s="97" t="s">
        <v>48</v>
      </c>
      <c r="K24" s="98" t="s">
        <v>48</v>
      </c>
      <c r="L24" s="116"/>
      <c r="M24" s="117"/>
      <c r="N24" s="96" t="s">
        <v>48</v>
      </c>
      <c r="O24" s="101">
        <f>(IF(J24="TAK", 'TERMIN - DANE'!P20,0)+IF(K24="TAK", 'TERMIN - DANE'!S20,0))*D24</f>
        <v>0</v>
      </c>
      <c r="P24" s="26"/>
      <c r="Q24" s="102">
        <f>(IF(I24="TAK", 'TERMIN - DANE'!N20,0)+IF(J24="TAK", 'TERMIN - DANE'!Q20,0)+IF(K24="TAK", 'TERMIN - DANE'!T20) + IF(N24="TAK", 'TERMIN - DANE'!X20))*D24</f>
        <v>0</v>
      </c>
      <c r="R24" s="2"/>
    </row>
    <row r="25" ht="15.75" customHeight="1">
      <c r="A25" s="72"/>
      <c r="B25" s="103" t="str">
        <f>'TERMIN - DANE'!C21</f>
        <v>Sypialnia</v>
      </c>
      <c r="C25" s="104" t="s">
        <v>49</v>
      </c>
      <c r="D25" s="105">
        <v>1.0</v>
      </c>
      <c r="E25" s="106"/>
      <c r="F25" s="4"/>
      <c r="G25" s="4"/>
      <c r="H25" s="107"/>
      <c r="I25" s="108" t="s">
        <v>47</v>
      </c>
      <c r="J25" s="87" t="s">
        <v>47</v>
      </c>
      <c r="K25" s="109" t="s">
        <v>47</v>
      </c>
      <c r="L25" s="110"/>
      <c r="M25" s="111"/>
      <c r="N25" s="108" t="s">
        <v>48</v>
      </c>
      <c r="O25" s="112">
        <f>(IF(J25="TAK", 'TERMIN - DANE'!P21,0)+IF(K25="TAK", 'TERMIN - DANE'!S21,0))*D25</f>
        <v>10</v>
      </c>
      <c r="P25" s="26"/>
      <c r="Q25" s="39">
        <f>(IF(I25="TAK", 'TERMIN - DANE'!N21,0)+IF(J25="TAK", 'TERMIN - DANE'!Q21,0)+IF(K25="TAK", 'TERMIN - DANE'!T21) + IF(N25="TAK", 'TERMIN - DANE'!X21))*D25</f>
        <v>8</v>
      </c>
      <c r="R25" s="2"/>
    </row>
    <row r="26" ht="15.75" customHeight="1">
      <c r="A26" s="72"/>
      <c r="B26" s="90" t="str">
        <f>'TERMIN - DANE'!C22</f>
        <v>Garderoba</v>
      </c>
      <c r="C26" s="91" t="s">
        <v>49</v>
      </c>
      <c r="D26" s="92">
        <v>1.0</v>
      </c>
      <c r="E26" s="113"/>
      <c r="F26" s="114"/>
      <c r="G26" s="114"/>
      <c r="H26" s="115"/>
      <c r="I26" s="96" t="s">
        <v>48</v>
      </c>
      <c r="J26" s="97" t="s">
        <v>48</v>
      </c>
      <c r="K26" s="98" t="s">
        <v>48</v>
      </c>
      <c r="L26" s="116"/>
      <c r="M26" s="117"/>
      <c r="N26" s="96" t="s">
        <v>48</v>
      </c>
      <c r="O26" s="101">
        <f>(IF(J26="TAK", 'TERMIN - DANE'!P22,0)+IF(K26="TAK", 'TERMIN - DANE'!S22,0))*D26</f>
        <v>0</v>
      </c>
      <c r="P26" s="26"/>
      <c r="Q26" s="102">
        <f>(IF(I26="TAK", 'TERMIN - DANE'!N22,0)+IF(J26="TAK", 'TERMIN - DANE'!Q22,0)+IF(K26="TAK", 'TERMIN - DANE'!T22) + IF(N26="TAK", 'TERMIN - DANE'!X22))*D26</f>
        <v>0</v>
      </c>
      <c r="R26" s="2"/>
    </row>
    <row r="27" ht="15.75" customHeight="1">
      <c r="A27" s="72"/>
      <c r="B27" s="103" t="str">
        <f>'TERMIN - DANE'!C23</f>
        <v>Pokój dziecięcy</v>
      </c>
      <c r="C27" s="104" t="s">
        <v>49</v>
      </c>
      <c r="D27" s="105">
        <v>1.0</v>
      </c>
      <c r="E27" s="106"/>
      <c r="F27" s="4"/>
      <c r="G27" s="4"/>
      <c r="H27" s="107"/>
      <c r="I27" s="108" t="s">
        <v>48</v>
      </c>
      <c r="J27" s="87" t="s">
        <v>48</v>
      </c>
      <c r="K27" s="109" t="s">
        <v>48</v>
      </c>
      <c r="L27" s="110"/>
      <c r="M27" s="111"/>
      <c r="N27" s="108" t="s">
        <v>48</v>
      </c>
      <c r="O27" s="112">
        <f>(IF(J27="TAK", 'TERMIN - DANE'!P23,0)+IF(K27="TAK", 'TERMIN - DANE'!S23,0))*D27</f>
        <v>0</v>
      </c>
      <c r="P27" s="26"/>
      <c r="Q27" s="39">
        <f>(IF(I27="TAK", 'TERMIN - DANE'!N23,0)+IF(J27="TAK", 'TERMIN - DANE'!Q23,0)+IF(K27="TAK", 'TERMIN - DANE'!T23) + IF(N27="TAK", 'TERMIN - DANE'!X23))*D27</f>
        <v>0</v>
      </c>
      <c r="R27" s="2"/>
    </row>
    <row r="28" ht="15.75" customHeight="1">
      <c r="A28" s="72"/>
      <c r="B28" s="90" t="str">
        <f>'TERMIN - DANE'!C24</f>
        <v>Pokój gościnny</v>
      </c>
      <c r="C28" s="91" t="s">
        <v>49</v>
      </c>
      <c r="D28" s="92">
        <v>1.0</v>
      </c>
      <c r="E28" s="113"/>
      <c r="F28" s="114"/>
      <c r="G28" s="114"/>
      <c r="H28" s="115"/>
      <c r="I28" s="96" t="s">
        <v>48</v>
      </c>
      <c r="J28" s="97" t="s">
        <v>48</v>
      </c>
      <c r="K28" s="98" t="s">
        <v>48</v>
      </c>
      <c r="L28" s="116"/>
      <c r="M28" s="117"/>
      <c r="N28" s="96" t="s">
        <v>48</v>
      </c>
      <c r="O28" s="101">
        <f>(IF(J28="TAK", 'TERMIN - DANE'!P24,0)+IF(K28="TAK", 'TERMIN - DANE'!S24,0))*D28</f>
        <v>0</v>
      </c>
      <c r="P28" s="26"/>
      <c r="Q28" s="102">
        <f>(IF(I28="TAK", 'TERMIN - DANE'!N24,0)+IF(J28="TAK", 'TERMIN - DANE'!Q24,0)+IF(K28="TAK", 'TERMIN - DANE'!T24) + IF(N28="TAK", 'TERMIN - DANE'!X24))*D28</f>
        <v>0</v>
      </c>
      <c r="R28" s="2"/>
    </row>
    <row r="29" ht="15.75" customHeight="1">
      <c r="A29" s="72"/>
      <c r="B29" s="103" t="str">
        <f>'TERMIN - DANE'!C25</f>
        <v>Gabinet</v>
      </c>
      <c r="C29" s="104" t="s">
        <v>49</v>
      </c>
      <c r="D29" s="105">
        <v>1.0</v>
      </c>
      <c r="E29" s="106"/>
      <c r="F29" s="4"/>
      <c r="G29" s="4"/>
      <c r="H29" s="107"/>
      <c r="I29" s="108" t="s">
        <v>48</v>
      </c>
      <c r="J29" s="87" t="s">
        <v>48</v>
      </c>
      <c r="K29" s="109" t="s">
        <v>48</v>
      </c>
      <c r="L29" s="110"/>
      <c r="M29" s="111"/>
      <c r="N29" s="108" t="s">
        <v>48</v>
      </c>
      <c r="O29" s="112">
        <f>(IF(J29="TAK", 'TERMIN - DANE'!P25,0)+IF(K29="TAK", 'TERMIN - DANE'!S25,0))*D29</f>
        <v>0</v>
      </c>
      <c r="P29" s="26"/>
      <c r="Q29" s="39">
        <f>(IF(I29="TAK", 'TERMIN - DANE'!N25,0)+IF(J29="TAK", 'TERMIN - DANE'!Q25,0)+IF(K29="TAK", 'TERMIN - DANE'!T25) + IF(N29="TAK", 'TERMIN - DANE'!X25))*D29</f>
        <v>0</v>
      </c>
      <c r="R29" s="2"/>
    </row>
    <row r="30" ht="15.75" customHeight="1">
      <c r="A30" s="72"/>
      <c r="B30" s="90" t="str">
        <f>'TERMIN - DANE'!C26</f>
        <v>Garaż</v>
      </c>
      <c r="C30" s="91" t="s">
        <v>49</v>
      </c>
      <c r="D30" s="92">
        <v>1.0</v>
      </c>
      <c r="E30" s="113"/>
      <c r="F30" s="114"/>
      <c r="G30" s="114"/>
      <c r="H30" s="115"/>
      <c r="I30" s="96" t="s">
        <v>48</v>
      </c>
      <c r="J30" s="97" t="s">
        <v>48</v>
      </c>
      <c r="K30" s="98" t="s">
        <v>48</v>
      </c>
      <c r="L30" s="116"/>
      <c r="M30" s="117"/>
      <c r="N30" s="96" t="s">
        <v>48</v>
      </c>
      <c r="O30" s="101">
        <f>(IF(J30="TAK", 'TERMIN - DANE'!P26,0)+IF(K30="TAK", 'TERMIN - DANE'!S26,0))*D30</f>
        <v>0</v>
      </c>
      <c r="P30" s="26"/>
      <c r="Q30" s="102">
        <f>(IF(I30="TAK", 'TERMIN - DANE'!N26,0)+IF(J30="TAK", 'TERMIN - DANE'!Q26,0)+IF(K30="TAK", 'TERMIN - DANE'!T26) + IF(N30="TAK", 'TERMIN - DANE'!X26))*D30</f>
        <v>0</v>
      </c>
      <c r="R30" s="2"/>
    </row>
    <row r="31" ht="15.75" customHeight="1">
      <c r="A31" s="72"/>
      <c r="B31" s="103" t="str">
        <f>'TERMIN - DANE'!C27</f>
        <v>Spiżarnia</v>
      </c>
      <c r="C31" s="104" t="s">
        <v>49</v>
      </c>
      <c r="D31" s="105">
        <v>1.0</v>
      </c>
      <c r="E31" s="110"/>
      <c r="F31" s="4"/>
      <c r="G31" s="4"/>
      <c r="H31" s="107"/>
      <c r="I31" s="108" t="s">
        <v>48</v>
      </c>
      <c r="J31" s="87" t="s">
        <v>48</v>
      </c>
      <c r="K31" s="109" t="s">
        <v>48</v>
      </c>
      <c r="L31" s="110"/>
      <c r="M31" s="111"/>
      <c r="N31" s="108" t="s">
        <v>48</v>
      </c>
      <c r="O31" s="112">
        <f>(IF(J31="TAK", 'TERMIN - DANE'!P27,0)+IF(K31="TAK", 'TERMIN - DANE'!S27,0))*D31</f>
        <v>0</v>
      </c>
      <c r="P31" s="26"/>
      <c r="Q31" s="39">
        <f>(IF(I31="TAK", 'TERMIN - DANE'!N27,0)+IF(J31="TAK", 'TERMIN - DANE'!Q27,0)+IF(K31="TAK", 'TERMIN - DANE'!T27) + IF(N31="TAK", 'TERMIN - DANE'!X27))*D31</f>
        <v>0</v>
      </c>
      <c r="R31" s="2"/>
    </row>
    <row r="32" ht="15.0" customHeight="1">
      <c r="A32" s="1"/>
      <c r="B32" s="118" t="str">
        <f>'TERMIN - DANE'!C28</f>
        <v>Schody</v>
      </c>
      <c r="C32" s="91" t="s">
        <v>49</v>
      </c>
      <c r="D32" s="92">
        <v>1.0</v>
      </c>
      <c r="E32" s="119"/>
      <c r="F32" s="120"/>
      <c r="G32" s="120"/>
      <c r="H32" s="121"/>
      <c r="I32" s="96" t="s">
        <v>48</v>
      </c>
      <c r="J32" s="97" t="s">
        <v>48</v>
      </c>
      <c r="K32" s="98" t="s">
        <v>48</v>
      </c>
      <c r="L32" s="119"/>
      <c r="M32" s="122"/>
      <c r="N32" s="96" t="s">
        <v>48</v>
      </c>
      <c r="O32" s="101">
        <f>(IF(J32="TAK", 'TERMIN - DANE'!P28,0)+IF(K32="TAK", 'TERMIN - DANE'!S28,0))*D32</f>
        <v>0</v>
      </c>
      <c r="P32" s="26"/>
      <c r="Q32" s="102">
        <f>(IF(I32="TAK", 'TERMIN - DANE'!N28,0)+IF(J32="TAK", 'TERMIN - DANE'!Q28,0)+IF(K32="TAK", 'TERMIN - DANE'!T28) + IF(N32="TAK", 'TERMIN - DANE'!X28))*D32</f>
        <v>0</v>
      </c>
      <c r="R32" s="1"/>
    </row>
    <row r="33" ht="11.2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Q34" s="1"/>
      <c r="R34" s="123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24" t="s">
        <v>50</v>
      </c>
      <c r="J35" s="35"/>
      <c r="K35" s="35"/>
      <c r="L35" s="35"/>
      <c r="M35" s="35"/>
      <c r="N35" s="35"/>
      <c r="O35" s="125" t="s">
        <v>45</v>
      </c>
      <c r="P35" s="35"/>
      <c r="Q35" s="125" t="s">
        <v>46</v>
      </c>
      <c r="R35" s="123"/>
    </row>
    <row r="36" ht="11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126"/>
      <c r="L37" s="127"/>
      <c r="M37" s="128"/>
      <c r="N37" s="129" t="s">
        <v>51</v>
      </c>
      <c r="O37" s="130">
        <f>SUM(O15:O32)</f>
        <v>56</v>
      </c>
      <c r="P37" s="64"/>
      <c r="Q37" s="131">
        <f>SUM(Q15:Q32)</f>
        <v>55</v>
      </c>
      <c r="R37" s="132"/>
    </row>
    <row r="38" ht="7.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4"/>
      <c r="M38" s="133"/>
      <c r="N38" s="133"/>
      <c r="O38" s="134"/>
      <c r="P38" s="134"/>
      <c r="Q38" s="134"/>
      <c r="R38" s="132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126"/>
      <c r="L39" s="127"/>
      <c r="M39" s="128"/>
      <c r="N39" s="129" t="s">
        <v>52</v>
      </c>
      <c r="O39" s="130">
        <f>O37/'TERMIN - DANE'!D7*7</f>
        <v>78.4</v>
      </c>
      <c r="P39" s="64"/>
      <c r="Q39" s="131">
        <f>Q37/'TERMIN - DANE'!D8*7</f>
        <v>77</v>
      </c>
      <c r="R39" s="132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Q40" s="2"/>
      <c r="R40" s="2"/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</row>
    <row r="42" ht="11.2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24" t="s">
        <v>53</v>
      </c>
      <c r="J43" s="35"/>
      <c r="K43" s="35"/>
      <c r="L43" s="35"/>
      <c r="M43" s="35"/>
      <c r="N43" s="35"/>
      <c r="O43" s="35"/>
      <c r="P43" s="35"/>
      <c r="Q43" s="135"/>
      <c r="R43" s="123"/>
    </row>
    <row r="44" ht="11.2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136"/>
      <c r="L44" s="2"/>
      <c r="M44" s="2"/>
      <c r="N44" s="2"/>
      <c r="O44" s="2"/>
      <c r="P44" s="2"/>
      <c r="Q44" s="136"/>
      <c r="R44" s="136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37" t="s">
        <v>54</v>
      </c>
      <c r="J45" s="138"/>
      <c r="K45" s="138"/>
      <c r="L45" s="138"/>
      <c r="M45" s="138"/>
      <c r="N45" s="138"/>
      <c r="O45" s="139">
        <v>45250.0</v>
      </c>
      <c r="P45" s="138"/>
      <c r="Q45" s="140"/>
      <c r="R45" s="141"/>
    </row>
    <row r="46" ht="7.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141"/>
      <c r="P46" s="141"/>
      <c r="Q46" s="141"/>
      <c r="R46" s="14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37" t="s">
        <v>55</v>
      </c>
      <c r="J47" s="138"/>
      <c r="K47" s="138"/>
      <c r="L47" s="138"/>
      <c r="M47" s="138"/>
      <c r="N47" s="138"/>
      <c r="O47" s="142">
        <f>_xlfn.WORKDAY.INTL(O45,O37)</f>
        <v>45328</v>
      </c>
      <c r="P47" s="138"/>
      <c r="Q47" s="140"/>
      <c r="R47" s="2"/>
    </row>
    <row r="48" ht="7.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37" t="s">
        <v>56</v>
      </c>
      <c r="J49" s="138"/>
      <c r="K49" s="138"/>
      <c r="L49" s="138"/>
      <c r="M49" s="138"/>
      <c r="N49" s="138"/>
      <c r="O49" s="142">
        <f>_xlfn.WORKDAY.INTL(O45,(O37+Q37))</f>
        <v>45405</v>
      </c>
      <c r="P49" s="138"/>
      <c r="Q49" s="140"/>
      <c r="R49" s="2"/>
    </row>
    <row r="50" ht="13.5" customHeight="1">
      <c r="A50" s="1"/>
      <c r="B50" s="143" t="s">
        <v>57</v>
      </c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Q50" s="2"/>
      <c r="R50" s="2"/>
    </row>
    <row r="51" ht="11.25" customHeight="1">
      <c r="A51" s="1"/>
      <c r="B51" s="143"/>
      <c r="C51" s="1"/>
      <c r="D51" s="1"/>
      <c r="E51" s="1"/>
      <c r="F51" s="1"/>
      <c r="G51" s="1"/>
      <c r="H51" s="1"/>
      <c r="I51" s="1"/>
      <c r="J51" s="2"/>
      <c r="K51" s="136"/>
      <c r="L51" s="2"/>
      <c r="M51" s="2"/>
      <c r="N51" s="2"/>
      <c r="O51" s="2"/>
      <c r="P51" s="2"/>
      <c r="Q51" s="136"/>
      <c r="R51" s="136"/>
    </row>
    <row r="52" ht="13.5" customHeight="1">
      <c r="A52" s="1"/>
      <c r="B52" s="143" t="s">
        <v>58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23"/>
      <c r="R52" s="123"/>
    </row>
    <row r="53" ht="11.25" customHeight="1">
      <c r="A53" s="1"/>
      <c r="B53" s="144" t="str">
        <f>'TERMIN - DANE'!B6</f>
        <v>IMIĘ I NAZWISKO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2"/>
    </row>
    <row r="54" ht="13.5" customHeight="1">
      <c r="A54" s="1"/>
      <c r="B54" s="145"/>
      <c r="C54" s="13"/>
      <c r="D54" s="13"/>
      <c r="E54" s="13"/>
      <c r="F54" s="1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</row>
    <row r="55" ht="13.5" customHeight="1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7"/>
    </row>
    <row r="56" ht="11.25" customHeight="1">
      <c r="A56" s="148" t="str">
        <f>'TERMIN - DANE'!B6</f>
        <v>IMIĘ I NAZWISKO</v>
      </c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50"/>
      <c r="Q56" s="151"/>
      <c r="R56" s="152" t="s">
        <v>59</v>
      </c>
    </row>
    <row r="57" ht="11.25" customHeight="1">
      <c r="A57" s="153" t="s">
        <v>60</v>
      </c>
      <c r="B57" s="154"/>
      <c r="C57" s="154"/>
      <c r="D57" s="154"/>
      <c r="E57" s="155" t="s">
        <v>61</v>
      </c>
      <c r="I57" s="154"/>
      <c r="J57" s="154"/>
      <c r="K57" s="156" t="s">
        <v>62</v>
      </c>
      <c r="M57" s="150"/>
      <c r="N57" s="154"/>
      <c r="O57" s="154"/>
      <c r="P57" s="155" t="s">
        <v>63</v>
      </c>
    </row>
    <row r="58" ht="11.25" customHeight="1">
      <c r="A58" s="157" t="s">
        <v>64</v>
      </c>
      <c r="B58" s="158"/>
      <c r="C58" s="158"/>
      <c r="D58" s="158"/>
      <c r="E58" s="159" t="s">
        <v>65</v>
      </c>
      <c r="I58" s="158"/>
      <c r="J58" s="158"/>
      <c r="K58" s="160" t="s">
        <v>66</v>
      </c>
      <c r="M58" s="150"/>
      <c r="N58" s="158"/>
      <c r="O58" s="158"/>
      <c r="P58" s="159" t="s">
        <v>67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O19:P19"/>
    <mergeCell ref="O20:P20"/>
    <mergeCell ref="O21:P21"/>
    <mergeCell ref="O22:P22"/>
    <mergeCell ref="O23:P23"/>
    <mergeCell ref="O24:P24"/>
    <mergeCell ref="O25:P25"/>
    <mergeCell ref="O37:P37"/>
    <mergeCell ref="O39:P39"/>
    <mergeCell ref="O40:P40"/>
    <mergeCell ref="O26:P26"/>
    <mergeCell ref="O27:P27"/>
    <mergeCell ref="O28:P28"/>
    <mergeCell ref="O29:P29"/>
    <mergeCell ref="O30:P30"/>
    <mergeCell ref="O31:P31"/>
    <mergeCell ref="O32:P32"/>
    <mergeCell ref="E57:H57"/>
    <mergeCell ref="E58:H58"/>
    <mergeCell ref="I47:N47"/>
    <mergeCell ref="O47:Q47"/>
    <mergeCell ref="I49:N49"/>
    <mergeCell ref="O49:Q49"/>
    <mergeCell ref="O50:P50"/>
    <mergeCell ref="B53:F54"/>
    <mergeCell ref="P57:R57"/>
    <mergeCell ref="P58:R58"/>
    <mergeCell ref="G9:G14"/>
    <mergeCell ref="H9:H14"/>
    <mergeCell ref="I9:I14"/>
    <mergeCell ref="J9:J14"/>
    <mergeCell ref="K9:K14"/>
    <mergeCell ref="L9:L14"/>
    <mergeCell ref="M9:M14"/>
    <mergeCell ref="N9:N14"/>
    <mergeCell ref="A1:F5"/>
    <mergeCell ref="Q1:R1"/>
    <mergeCell ref="N5:R5"/>
    <mergeCell ref="A6:R8"/>
    <mergeCell ref="B9:D14"/>
    <mergeCell ref="E9:E14"/>
    <mergeCell ref="F9:F14"/>
    <mergeCell ref="O9:Q11"/>
    <mergeCell ref="O12:P14"/>
    <mergeCell ref="Q12:Q14"/>
    <mergeCell ref="O15:P15"/>
    <mergeCell ref="O16:P16"/>
    <mergeCell ref="O17:P17"/>
    <mergeCell ref="O18:P18"/>
    <mergeCell ref="J34:N34"/>
    <mergeCell ref="O34:P34"/>
    <mergeCell ref="I35:N35"/>
    <mergeCell ref="O35:P35"/>
    <mergeCell ref="I43:P43"/>
    <mergeCell ref="I45:N45"/>
    <mergeCell ref="O45:Q45"/>
  </mergeCells>
  <conditionalFormatting sqref="E15:H15 I15:K32 L15:M15 N15:N32">
    <cfRule type="cellIs" dxfId="0" priority="1" operator="equal">
      <formula>"TAK"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25.13"/>
    <col customWidth="1" min="3" max="3" width="31.38"/>
    <col customWidth="1" min="4" max="4" width="2.63"/>
    <col customWidth="1" min="5" max="5" width="5.13"/>
    <col customWidth="1" min="6" max="6" width="4.63"/>
    <col customWidth="1" min="7" max="19" width="5.13"/>
    <col customWidth="1" min="20" max="20" width="13.88"/>
  </cols>
  <sheetData>
    <row r="1" ht="15.0" customHeight="1">
      <c r="A1" s="161"/>
      <c r="B1" s="161"/>
      <c r="C1" s="161"/>
      <c r="D1" s="161"/>
      <c r="E1" s="161"/>
      <c r="F1" s="161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</row>
    <row r="2" ht="15.0" customHeight="1">
      <c r="A2" s="161"/>
      <c r="B2" s="163" t="str">
        <f>'TERMIN - DANE'!B2</f>
        <v/>
      </c>
      <c r="C2" s="71"/>
      <c r="D2" s="71" t="str">
        <f>IF(C53="TAK","KALKULATOR ROBOCZOGODZIN","KALKULATOR ZAKRESU")</f>
        <v>KALKULATOR ZAKRESU</v>
      </c>
    </row>
    <row r="3" ht="15.0" customHeight="1">
      <c r="A3" s="161"/>
      <c r="C3" s="71"/>
    </row>
    <row r="4" ht="15.0" customHeight="1">
      <c r="A4" s="161"/>
      <c r="C4" s="161"/>
      <c r="D4" s="161"/>
      <c r="E4" s="161"/>
      <c r="F4" s="161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</row>
    <row r="5" ht="15.0" customHeight="1">
      <c r="A5" s="161"/>
      <c r="B5" s="164"/>
      <c r="C5" s="164"/>
      <c r="D5" s="165"/>
      <c r="E5" s="166" t="s">
        <v>68</v>
      </c>
      <c r="F5" s="167" t="s">
        <v>69</v>
      </c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9"/>
      <c r="T5" s="164"/>
      <c r="U5" s="170" t="s">
        <v>70</v>
      </c>
      <c r="V5" s="164"/>
    </row>
    <row r="6" ht="15.0" customHeight="1">
      <c r="A6" s="3"/>
      <c r="B6" s="171" t="s">
        <v>1</v>
      </c>
      <c r="C6" s="172" t="s">
        <v>12</v>
      </c>
      <c r="D6" s="16"/>
      <c r="E6" s="16"/>
      <c r="F6" s="170" t="s">
        <v>71</v>
      </c>
      <c r="G6" s="170" t="s">
        <v>72</v>
      </c>
      <c r="H6" s="170" t="s">
        <v>73</v>
      </c>
      <c r="I6" s="170" t="s">
        <v>74</v>
      </c>
      <c r="J6" s="170" t="s">
        <v>75</v>
      </c>
      <c r="K6" s="170" t="s">
        <v>76</v>
      </c>
      <c r="L6" s="170" t="s">
        <v>77</v>
      </c>
      <c r="M6" s="170" t="s">
        <v>78</v>
      </c>
      <c r="N6" s="170" t="s">
        <v>79</v>
      </c>
      <c r="O6" s="170" t="s">
        <v>80</v>
      </c>
      <c r="P6" s="170" t="s">
        <v>81</v>
      </c>
      <c r="Q6" s="170" t="s">
        <v>82</v>
      </c>
      <c r="R6" s="170" t="s">
        <v>83</v>
      </c>
      <c r="S6" s="170" t="s">
        <v>84</v>
      </c>
      <c r="T6" s="164"/>
      <c r="U6" s="14"/>
      <c r="V6" s="164"/>
    </row>
    <row r="7" ht="15.0" customHeight="1">
      <c r="A7" s="3"/>
      <c r="B7" s="164"/>
      <c r="C7" s="164"/>
      <c r="D7" s="16"/>
      <c r="E7" s="16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64"/>
      <c r="U7" s="14"/>
      <c r="V7" s="164"/>
    </row>
    <row r="8" ht="15.0" customHeight="1">
      <c r="A8" s="3"/>
      <c r="B8" s="173"/>
      <c r="C8" s="173"/>
      <c r="D8" s="16"/>
      <c r="E8" s="16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64"/>
      <c r="U8" s="14"/>
      <c r="V8" s="164"/>
    </row>
    <row r="9" ht="26.25" customHeight="1">
      <c r="A9" s="164"/>
      <c r="B9" s="174" t="s">
        <v>85</v>
      </c>
      <c r="C9" s="174" t="s">
        <v>86</v>
      </c>
      <c r="D9" s="22"/>
      <c r="E9" s="22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64"/>
      <c r="U9" s="19"/>
      <c r="V9" s="164"/>
    </row>
    <row r="10" ht="15.0" customHeight="1">
      <c r="A10" s="175"/>
      <c r="B10" s="176" t="s">
        <v>87</v>
      </c>
      <c r="C10" s="35"/>
      <c r="D10" s="177" t="str">
        <f>IF(C53="TAK","MINUTY","ZŁOTÓWKI")</f>
        <v>ZŁOTÓWKI</v>
      </c>
      <c r="E10" s="178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80"/>
      <c r="T10" s="164"/>
      <c r="U10" s="181"/>
      <c r="V10" s="164"/>
    </row>
    <row r="11" ht="26.25" customHeight="1">
      <c r="A11" s="182"/>
      <c r="B11" s="183" t="s">
        <v>88</v>
      </c>
      <c r="C11" s="184" t="s">
        <v>89</v>
      </c>
      <c r="D11" s="14"/>
      <c r="E11" s="185">
        <v>150.0</v>
      </c>
      <c r="F11" s="186">
        <v>10.0</v>
      </c>
      <c r="G11" s="187">
        <v>10.0</v>
      </c>
      <c r="H11" s="186">
        <v>10.0</v>
      </c>
      <c r="I11" s="187">
        <v>10.0</v>
      </c>
      <c r="J11" s="186">
        <v>10.0</v>
      </c>
      <c r="K11" s="187">
        <v>10.0</v>
      </c>
      <c r="L11" s="186">
        <v>10.0</v>
      </c>
      <c r="M11" s="187">
        <v>10.0</v>
      </c>
      <c r="N11" s="186">
        <v>10.0</v>
      </c>
      <c r="O11" s="187">
        <v>10.0</v>
      </c>
      <c r="P11" s="186">
        <v>10.0</v>
      </c>
      <c r="Q11" s="187">
        <v>10.0</v>
      </c>
      <c r="R11" s="186">
        <v>10.0</v>
      </c>
      <c r="S11" s="188">
        <v>10.0</v>
      </c>
      <c r="T11" s="164"/>
      <c r="U11" s="189">
        <f>'OFERTA - DOKUMENT'!K14/C48*60</f>
        <v>0</v>
      </c>
      <c r="V11" s="164"/>
    </row>
    <row r="12" ht="26.25" customHeight="1">
      <c r="A12" s="190"/>
      <c r="B12" s="191" t="s">
        <v>90</v>
      </c>
      <c r="C12" s="192" t="s">
        <v>91</v>
      </c>
      <c r="D12" s="14"/>
      <c r="E12" s="193">
        <v>250.0</v>
      </c>
      <c r="F12" s="194"/>
      <c r="G12" s="195"/>
      <c r="H12" s="194"/>
      <c r="I12" s="195"/>
      <c r="J12" s="194"/>
      <c r="K12" s="195"/>
      <c r="L12" s="194"/>
      <c r="M12" s="195"/>
      <c r="N12" s="194"/>
      <c r="O12" s="195"/>
      <c r="P12" s="194"/>
      <c r="Q12" s="195"/>
      <c r="R12" s="194"/>
      <c r="S12" s="196"/>
      <c r="T12" s="164"/>
      <c r="U12" s="189">
        <f>'OFERTA - DOKUMENT'!K15/C48*60</f>
        <v>60</v>
      </c>
      <c r="V12" s="164"/>
    </row>
    <row r="13" ht="26.25" customHeight="1">
      <c r="A13" s="197"/>
      <c r="B13" s="198" t="s">
        <v>92</v>
      </c>
      <c r="C13" s="199" t="s">
        <v>93</v>
      </c>
      <c r="D13" s="14"/>
      <c r="E13" s="193">
        <v>100.0</v>
      </c>
      <c r="F13" s="200">
        <v>10.0</v>
      </c>
      <c r="G13" s="201">
        <v>10.0</v>
      </c>
      <c r="H13" s="200">
        <v>10.0</v>
      </c>
      <c r="I13" s="201">
        <v>10.0</v>
      </c>
      <c r="J13" s="200">
        <v>10.0</v>
      </c>
      <c r="K13" s="201">
        <v>10.0</v>
      </c>
      <c r="L13" s="200">
        <v>10.0</v>
      </c>
      <c r="M13" s="201">
        <v>10.0</v>
      </c>
      <c r="N13" s="200">
        <v>10.0</v>
      </c>
      <c r="O13" s="201">
        <v>10.0</v>
      </c>
      <c r="P13" s="200">
        <v>10.0</v>
      </c>
      <c r="Q13" s="201">
        <v>10.0</v>
      </c>
      <c r="R13" s="200">
        <v>10.0</v>
      </c>
      <c r="S13" s="202">
        <v>10.0</v>
      </c>
      <c r="T13" s="164"/>
      <c r="U13" s="189">
        <f>'OFERTA - DOKUMENT'!K16/C48*60</f>
        <v>0</v>
      </c>
      <c r="V13" s="164"/>
    </row>
    <row r="14" ht="12.75" customHeight="1">
      <c r="A14" s="197"/>
      <c r="B14" s="203" t="s">
        <v>94</v>
      </c>
      <c r="C14" s="204" t="s">
        <v>95</v>
      </c>
      <c r="D14" s="14"/>
      <c r="E14" s="205">
        <v>200.0</v>
      </c>
      <c r="F14" s="206">
        <v>20.0</v>
      </c>
      <c r="G14" s="207">
        <v>20.0</v>
      </c>
      <c r="H14" s="206">
        <v>20.0</v>
      </c>
      <c r="I14" s="207">
        <v>20.0</v>
      </c>
      <c r="J14" s="206">
        <v>20.0</v>
      </c>
      <c r="K14" s="207">
        <v>20.0</v>
      </c>
      <c r="L14" s="206">
        <v>20.0</v>
      </c>
      <c r="M14" s="207">
        <v>20.0</v>
      </c>
      <c r="N14" s="206">
        <v>20.0</v>
      </c>
      <c r="O14" s="207">
        <v>20.0</v>
      </c>
      <c r="P14" s="206">
        <v>20.0</v>
      </c>
      <c r="Q14" s="207">
        <v>20.0</v>
      </c>
      <c r="R14" s="206">
        <v>20.0</v>
      </c>
      <c r="S14" s="208">
        <v>20.0</v>
      </c>
      <c r="T14" s="164"/>
      <c r="U14" s="209">
        <f>'OFERTA - DOKUMENT'!K17/C48*60</f>
        <v>150</v>
      </c>
      <c r="V14" s="164"/>
    </row>
    <row r="15" ht="12.75" customHeight="1">
      <c r="A15" s="197"/>
      <c r="B15" s="210"/>
      <c r="C15" s="211" t="s">
        <v>96</v>
      </c>
      <c r="D15" s="14"/>
      <c r="E15" s="212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36"/>
      <c r="T15" s="164"/>
      <c r="U15" s="213"/>
      <c r="V15" s="164"/>
    </row>
    <row r="16" ht="26.25" customHeight="1">
      <c r="A16" s="175"/>
      <c r="B16" s="191" t="s">
        <v>90</v>
      </c>
      <c r="C16" s="184" t="s">
        <v>97</v>
      </c>
      <c r="D16" s="14"/>
      <c r="E16" s="185">
        <v>250.0</v>
      </c>
      <c r="F16" s="194"/>
      <c r="G16" s="195"/>
      <c r="H16" s="194"/>
      <c r="I16" s="195"/>
      <c r="J16" s="194"/>
      <c r="K16" s="195"/>
      <c r="L16" s="194"/>
      <c r="M16" s="195"/>
      <c r="N16" s="194"/>
      <c r="O16" s="195"/>
      <c r="P16" s="194"/>
      <c r="Q16" s="195"/>
      <c r="R16" s="194"/>
      <c r="S16" s="196"/>
      <c r="T16" s="164"/>
      <c r="U16" s="214">
        <f>'OFERTA - DOKUMENT'!K18/C48*60</f>
        <v>30</v>
      </c>
      <c r="V16" s="164"/>
    </row>
    <row r="17" ht="26.25" customHeight="1">
      <c r="A17" s="175"/>
      <c r="B17" s="215" t="s">
        <v>98</v>
      </c>
      <c r="C17" s="199" t="s">
        <v>99</v>
      </c>
      <c r="D17" s="14"/>
      <c r="E17" s="193">
        <v>100.0</v>
      </c>
      <c r="F17" s="200">
        <v>10.0</v>
      </c>
      <c r="G17" s="201">
        <v>10.0</v>
      </c>
      <c r="H17" s="200">
        <v>10.0</v>
      </c>
      <c r="I17" s="201">
        <v>10.0</v>
      </c>
      <c r="J17" s="200">
        <v>10.0</v>
      </c>
      <c r="K17" s="201">
        <v>10.0</v>
      </c>
      <c r="L17" s="200">
        <v>10.0</v>
      </c>
      <c r="M17" s="201">
        <v>10.0</v>
      </c>
      <c r="N17" s="200">
        <v>10.0</v>
      </c>
      <c r="O17" s="201">
        <v>10.0</v>
      </c>
      <c r="P17" s="200">
        <v>10.0</v>
      </c>
      <c r="Q17" s="201">
        <v>10.0</v>
      </c>
      <c r="R17" s="200">
        <v>10.0</v>
      </c>
      <c r="S17" s="202">
        <v>10.0</v>
      </c>
      <c r="T17" s="164"/>
      <c r="U17" s="214">
        <f>'OFERTA - DOKUMENT'!K19/C48*60</f>
        <v>45</v>
      </c>
      <c r="V17" s="164"/>
    </row>
    <row r="18" ht="15.0" customHeight="1">
      <c r="A18" s="175"/>
      <c r="B18" s="216" t="s">
        <v>100</v>
      </c>
      <c r="C18" s="217"/>
      <c r="D18" s="218"/>
      <c r="E18" s="176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20"/>
      <c r="T18" s="164"/>
      <c r="U18" s="221"/>
      <c r="V18" s="164"/>
    </row>
    <row r="19" ht="26.25" customHeight="1">
      <c r="A19" s="164"/>
      <c r="B19" s="183" t="s">
        <v>101</v>
      </c>
      <c r="C19" s="222" t="s">
        <v>102</v>
      </c>
      <c r="D19" s="177" t="str">
        <f>IF(C53="TAK","MINUTY","ZŁOTÓWKI")</f>
        <v>ZŁOTÓWKI</v>
      </c>
      <c r="E19" s="223">
        <v>100.0</v>
      </c>
      <c r="F19" s="224">
        <v>100.0</v>
      </c>
      <c r="G19" s="224">
        <v>100.0</v>
      </c>
      <c r="H19" s="224">
        <v>100.0</v>
      </c>
      <c r="I19" s="224">
        <v>100.0</v>
      </c>
      <c r="J19" s="224">
        <v>100.0</v>
      </c>
      <c r="K19" s="224">
        <v>100.0</v>
      </c>
      <c r="L19" s="224">
        <v>100.0</v>
      </c>
      <c r="M19" s="224">
        <v>100.0</v>
      </c>
      <c r="N19" s="224">
        <v>100.0</v>
      </c>
      <c r="O19" s="224">
        <v>100.0</v>
      </c>
      <c r="P19" s="224">
        <v>100.0</v>
      </c>
      <c r="Q19" s="224">
        <v>100.0</v>
      </c>
      <c r="R19" s="224">
        <v>100.0</v>
      </c>
      <c r="S19" s="225">
        <v>100.0</v>
      </c>
      <c r="T19" s="164"/>
      <c r="U19" s="214">
        <f>('OFERTA - DOKUMENT'!K22 +'OFERTA - DOKUMENT'!K29+'OFERTA - DOKUMENT'!K36+'OFERTA - DOKUMENT'!K43+'OFERTA - DOKUMENT'!K50+'OFERTA - DOKUMENT'!K54+'OFERTA - DOKUMENT'!K57+'OFERTA - DOKUMENT'!K60+'OFERTA - DOKUMENT'!K67+'OFERTA - DOKUMENT'!K71+'OFERTA - DOKUMENT'!K74+'OFERTA - DOKUMENT'!K81+'OFERTA - DOKUMENT'!K88+'OFERTA - DOKUMENT'!K91)/C48*60</f>
        <v>630</v>
      </c>
      <c r="V19" s="164"/>
    </row>
    <row r="20" ht="12.75" customHeight="1">
      <c r="A20" s="175"/>
      <c r="B20" s="226" t="s">
        <v>103</v>
      </c>
      <c r="C20" s="204" t="s">
        <v>104</v>
      </c>
      <c r="D20" s="14"/>
      <c r="E20" s="227">
        <v>50.0</v>
      </c>
      <c r="F20" s="228">
        <v>350.0</v>
      </c>
      <c r="G20" s="229">
        <v>350.0</v>
      </c>
      <c r="H20" s="228">
        <v>600.0</v>
      </c>
      <c r="I20" s="229">
        <v>350.0</v>
      </c>
      <c r="J20" s="228">
        <v>500.0</v>
      </c>
      <c r="K20" s="229">
        <v>400.0</v>
      </c>
      <c r="L20" s="228">
        <v>600.0</v>
      </c>
      <c r="M20" s="229">
        <v>350.0</v>
      </c>
      <c r="N20" s="228">
        <v>500.0</v>
      </c>
      <c r="O20" s="229">
        <v>350.0</v>
      </c>
      <c r="P20" s="228">
        <v>500.0</v>
      </c>
      <c r="Q20" s="229">
        <v>500.0</v>
      </c>
      <c r="R20" s="228">
        <v>350.0</v>
      </c>
      <c r="S20" s="230">
        <v>200.0</v>
      </c>
      <c r="T20" s="164"/>
      <c r="U20" s="231" t="str">
        <f>(IF('OFERTA - DOKUMENT'!E26="WIZUALIZACJA 3D",'OFERTA - DOKUMENT'!K26,0)+IF('OFERTA - DOKUMENT'!E33="WIZUALIZACJA 3D",'OFERTA - DOKUMENT'!K33,0)+IF('OFERTA - DOKUMENT'!E40="WIZUALIZACJA 3D",'OFERTA - DOKUMENT'!K40,0)+IF(#REF!="WIZUALIZACJA 3D",#REF!,0)+IF('OFERTA - DOKUMENT'!E51="WIZUALIZACJA 3D",'OFERTA - DOKUMENT'!K51,0)+IF('OFERTA - DOKUMENT'!E55="WIZUALIZACJA 3D",'OFERTA - DOKUMENT'!K55,0)+IF('OFERTA - DOKUMENT'!E58="WIZUALIZACJA 3D",'OFERTA - DOKUMENT'!K58,0)+IF('OFERTA - DOKUMENT'!E61="WIZUALIZACJA 3D",'OFERTA - DOKUMENT'!K61,0)+IF('OFERTA - DOKUMENT'!E68="WIZUALIZACJA 3D",'OFERTA - DOKUMENT'!K68,0)+IF('OFERTA - DOKUMENT'!E72="WIZUALIZACJA 3D",'OFERTA - DOKUMENT'!K72,0)+IF('OFERTA - DOKUMENT'!E78="WIZUALIZACJA 3D",'OFERTA - DOKUMENT'!K78,0)+IF('OFERTA - DOKUMENT'!E85="WIZUALIZACJA 3D",'OFERTA - DOKUMENT'!K85,0)+IF('OFERTA - DOKUMENT'!E89="WIZUALIZACJA 3D",'OFERTA - DOKUMENT'!K89,0)+IF('OFERTA - DOKUMENT'!E92="WIZUALIZACJA 3D",'OFERTA - DOKUMENT'!K92,0))/C48*60</f>
        <v>#REF!</v>
      </c>
      <c r="V20" s="164"/>
    </row>
    <row r="21" ht="12.75" customHeight="1">
      <c r="A21" s="175"/>
      <c r="B21" s="15"/>
      <c r="C21" s="232" t="s">
        <v>105</v>
      </c>
      <c r="D21" s="14"/>
      <c r="E21" s="41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233"/>
      <c r="T21" s="164"/>
      <c r="U21" s="213"/>
      <c r="V21" s="164"/>
    </row>
    <row r="22" ht="12.75" customHeight="1">
      <c r="A22" s="175"/>
      <c r="B22" s="226" t="s">
        <v>106</v>
      </c>
      <c r="C22" s="204" t="s">
        <v>107</v>
      </c>
      <c r="D22" s="14"/>
      <c r="E22" s="227">
        <v>200.0</v>
      </c>
      <c r="F22" s="228">
        <v>350.0</v>
      </c>
      <c r="G22" s="229">
        <v>350.0</v>
      </c>
      <c r="H22" s="228">
        <v>600.0</v>
      </c>
      <c r="I22" s="229">
        <v>350.0</v>
      </c>
      <c r="J22" s="228">
        <v>500.0</v>
      </c>
      <c r="K22" s="229">
        <v>400.0</v>
      </c>
      <c r="L22" s="228">
        <v>600.0</v>
      </c>
      <c r="M22" s="229">
        <v>350.0</v>
      </c>
      <c r="N22" s="228">
        <v>500.0</v>
      </c>
      <c r="O22" s="229">
        <v>350.0</v>
      </c>
      <c r="P22" s="228">
        <v>500.0</v>
      </c>
      <c r="Q22" s="229">
        <v>500.0</v>
      </c>
      <c r="R22" s="228">
        <v>350.0</v>
      </c>
      <c r="S22" s="230">
        <v>200.0</v>
      </c>
      <c r="T22" s="164"/>
      <c r="U22" s="231" t="str">
        <f>(IF('OFERTA - DOKUMENT'!E26="Wizualizacja 360",'OFERTA - DOKUMENT'!K26,0)+IF('OFERTA - DOKUMENT'!E33="Wizualizacja 360",'OFERTA - DOKUMENT'!K33,0)+IF('OFERTA - DOKUMENT'!E40="Wizualizacja 360",'OFERTA - DOKUMENT'!K40,0)+IF(#REF!="Wizualizacja 360",#REF!,0)+IF('OFERTA - DOKUMENT'!E51="Wizualizacja 360",'OFERTA - DOKUMENT'!K51,0)+IF('OFERTA - DOKUMENT'!E55="Wizualizacja 360",'OFERTA - DOKUMENT'!K55,0)+IF('OFERTA - DOKUMENT'!E58="Wizualizacja 360",'OFERTA - DOKUMENT'!K58,0)+IF('OFERTA - DOKUMENT'!E61="Wizualizacja 360",'OFERTA - DOKUMENT'!K61,0)+IF('OFERTA - DOKUMENT'!E68="Wizualizacja 360",'OFERTA - DOKUMENT'!K68,0)+IF('OFERTA - DOKUMENT'!E72="Wizualizacja 360",'OFERTA - DOKUMENT'!K72,0)+IF('OFERTA - DOKUMENT'!E78="Wizualizacja 360",'OFERTA - DOKUMENT'!K78,0)+IF('OFERTA - DOKUMENT'!E85="Wizualizacja 360",'OFERTA - DOKUMENT'!K85,0)+IF('OFERTA - DOKUMENT'!E89="Wizualizacja 360",'OFERTA - DOKUMENT'!K89,0)+IF('OFERTA - DOKUMENT'!E92="Wizualizacja 360",'OFERTA - DOKUMENT'!K92,0))/C48*60</f>
        <v>#REF!</v>
      </c>
      <c r="V22" s="164"/>
    </row>
    <row r="23" ht="12.75" customHeight="1">
      <c r="A23" s="175"/>
      <c r="B23" s="15"/>
      <c r="C23" s="211" t="s">
        <v>108</v>
      </c>
      <c r="D23" s="14"/>
      <c r="E23" s="41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233"/>
      <c r="T23" s="164"/>
      <c r="U23" s="213"/>
      <c r="V23" s="164"/>
    </row>
    <row r="24" ht="26.25" customHeight="1">
      <c r="A24" s="175"/>
      <c r="B24" s="191" t="s">
        <v>90</v>
      </c>
      <c r="C24" s="184" t="s">
        <v>109</v>
      </c>
      <c r="D24" s="14"/>
      <c r="E24" s="234">
        <v>250.0</v>
      </c>
      <c r="F24" s="235"/>
      <c r="G24" s="236"/>
      <c r="H24" s="235"/>
      <c r="I24" s="236"/>
      <c r="J24" s="235"/>
      <c r="K24" s="236"/>
      <c r="L24" s="235"/>
      <c r="M24" s="236"/>
      <c r="N24" s="235"/>
      <c r="O24" s="236"/>
      <c r="P24" s="235"/>
      <c r="Q24" s="236"/>
      <c r="R24" s="235"/>
      <c r="S24" s="237"/>
      <c r="T24" s="164"/>
      <c r="U24" s="214">
        <f>'OFERTA - DOKUMENT'!K93/C48*60</f>
        <v>75</v>
      </c>
      <c r="V24" s="164"/>
    </row>
    <row r="25" ht="15.0" customHeight="1">
      <c r="A25" s="175"/>
      <c r="B25" s="216" t="s">
        <v>110</v>
      </c>
      <c r="C25" s="217"/>
      <c r="D25" s="218"/>
      <c r="E25" s="176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20"/>
      <c r="T25" s="164"/>
      <c r="U25" s="238"/>
      <c r="V25" s="164"/>
    </row>
    <row r="26" ht="26.25" customHeight="1">
      <c r="A26" s="164"/>
      <c r="B26" s="183" t="s">
        <v>111</v>
      </c>
      <c r="C26" s="184" t="s">
        <v>112</v>
      </c>
      <c r="D26" s="177" t="str">
        <f>IF(C53="TAK","MINUTY","ZŁOTÓWKI")</f>
        <v>ZŁOTÓWKI</v>
      </c>
      <c r="E26" s="239">
        <v>200.0</v>
      </c>
      <c r="F26" s="240">
        <v>15.0</v>
      </c>
      <c r="G26" s="241">
        <v>15.0</v>
      </c>
      <c r="H26" s="240">
        <v>15.0</v>
      </c>
      <c r="I26" s="241">
        <v>15.0</v>
      </c>
      <c r="J26" s="240">
        <v>15.0</v>
      </c>
      <c r="K26" s="241">
        <v>15.0</v>
      </c>
      <c r="L26" s="240">
        <v>15.0</v>
      </c>
      <c r="M26" s="241">
        <v>15.0</v>
      </c>
      <c r="N26" s="240">
        <v>15.0</v>
      </c>
      <c r="O26" s="241">
        <v>15.0</v>
      </c>
      <c r="P26" s="240">
        <v>15.0</v>
      </c>
      <c r="Q26" s="241">
        <v>15.0</v>
      </c>
      <c r="R26" s="240">
        <v>15.0</v>
      </c>
      <c r="S26" s="242">
        <v>15.0</v>
      </c>
      <c r="T26" s="164"/>
      <c r="U26" s="214">
        <f>'OFERTA - DOKUMENT'!K95/C48*60</f>
        <v>0</v>
      </c>
      <c r="V26" s="164"/>
    </row>
    <row r="27" ht="26.25" customHeight="1">
      <c r="A27" s="175"/>
      <c r="B27" s="243" t="s">
        <v>113</v>
      </c>
      <c r="C27" s="192" t="s">
        <v>114</v>
      </c>
      <c r="D27" s="14"/>
      <c r="E27" s="223">
        <v>200.0</v>
      </c>
      <c r="F27" s="244"/>
      <c r="G27" s="245"/>
      <c r="H27" s="244">
        <v>50.0</v>
      </c>
      <c r="I27" s="245"/>
      <c r="J27" s="244"/>
      <c r="K27" s="245">
        <v>30.0</v>
      </c>
      <c r="L27" s="244">
        <v>50.0</v>
      </c>
      <c r="M27" s="245">
        <v>30.0</v>
      </c>
      <c r="N27" s="244"/>
      <c r="O27" s="245"/>
      <c r="P27" s="244"/>
      <c r="Q27" s="245"/>
      <c r="R27" s="244"/>
      <c r="S27" s="246"/>
      <c r="T27" s="164"/>
      <c r="U27" s="214">
        <f>'OFERTA - DOKUMENT'!K96/C48*60</f>
        <v>0</v>
      </c>
      <c r="V27" s="164"/>
    </row>
    <row r="28" ht="26.25" customHeight="1">
      <c r="A28" s="175"/>
      <c r="B28" s="247" t="s">
        <v>115</v>
      </c>
      <c r="C28" s="192" t="s">
        <v>116</v>
      </c>
      <c r="D28" s="14"/>
      <c r="E28" s="223">
        <v>200.0</v>
      </c>
      <c r="F28" s="244"/>
      <c r="G28" s="245"/>
      <c r="H28" s="244">
        <v>25.0</v>
      </c>
      <c r="I28" s="245"/>
      <c r="J28" s="244"/>
      <c r="K28" s="245">
        <v>25.0</v>
      </c>
      <c r="L28" s="244">
        <v>25.0</v>
      </c>
      <c r="M28" s="245">
        <v>25.0</v>
      </c>
      <c r="N28" s="244"/>
      <c r="O28" s="245"/>
      <c r="P28" s="244"/>
      <c r="Q28" s="245"/>
      <c r="R28" s="244">
        <v>25.0</v>
      </c>
      <c r="S28" s="246"/>
      <c r="T28" s="164"/>
      <c r="U28" s="214">
        <f>'OFERTA - DOKUMENT'!K97/C48*60</f>
        <v>0</v>
      </c>
      <c r="V28" s="164"/>
    </row>
    <row r="29" ht="26.25" customHeight="1">
      <c r="A29" s="164"/>
      <c r="B29" s="247" t="s">
        <v>117</v>
      </c>
      <c r="C29" s="192" t="s">
        <v>118</v>
      </c>
      <c r="D29" s="14"/>
      <c r="E29" s="223">
        <v>200.0</v>
      </c>
      <c r="F29" s="194">
        <v>15.0</v>
      </c>
      <c r="G29" s="195">
        <v>15.0</v>
      </c>
      <c r="H29" s="194">
        <v>15.0</v>
      </c>
      <c r="I29" s="195">
        <v>15.0</v>
      </c>
      <c r="J29" s="194">
        <v>15.0</v>
      </c>
      <c r="K29" s="195">
        <v>15.0</v>
      </c>
      <c r="L29" s="194">
        <v>15.0</v>
      </c>
      <c r="M29" s="195">
        <v>15.0</v>
      </c>
      <c r="N29" s="194">
        <v>15.0</v>
      </c>
      <c r="O29" s="195">
        <v>15.0</v>
      </c>
      <c r="P29" s="194">
        <v>15.0</v>
      </c>
      <c r="Q29" s="195">
        <v>15.0</v>
      </c>
      <c r="R29" s="194">
        <v>15.0</v>
      </c>
      <c r="S29" s="246">
        <v>15.0</v>
      </c>
      <c r="T29" s="164"/>
      <c r="U29" s="214">
        <f>'OFERTA - DOKUMENT'!K98/C48*60</f>
        <v>0</v>
      </c>
      <c r="V29" s="164"/>
    </row>
    <row r="30" ht="26.25" customHeight="1">
      <c r="A30" s="175"/>
      <c r="B30" s="243" t="s">
        <v>119</v>
      </c>
      <c r="C30" s="192" t="s">
        <v>120</v>
      </c>
      <c r="D30" s="14"/>
      <c r="E30" s="223">
        <v>200.0</v>
      </c>
      <c r="F30" s="194">
        <v>25.0</v>
      </c>
      <c r="G30" s="195">
        <v>25.0</v>
      </c>
      <c r="H30" s="194">
        <v>75.0</v>
      </c>
      <c r="I30" s="195">
        <v>20.0</v>
      </c>
      <c r="J30" s="194">
        <v>40.0</v>
      </c>
      <c r="K30" s="195">
        <v>40.0</v>
      </c>
      <c r="L30" s="194">
        <v>60.0</v>
      </c>
      <c r="M30" s="195">
        <v>20.0</v>
      </c>
      <c r="N30" s="194">
        <v>40.0</v>
      </c>
      <c r="O30" s="195">
        <v>20.0</v>
      </c>
      <c r="P30" s="194">
        <v>40.0</v>
      </c>
      <c r="Q30" s="195">
        <v>40.0</v>
      </c>
      <c r="R30" s="194">
        <v>20.0</v>
      </c>
      <c r="S30" s="196">
        <v>15.0</v>
      </c>
      <c r="T30" s="164"/>
      <c r="U30" s="214">
        <f>'OFERTA - DOKUMENT'!K99/C48*60</f>
        <v>0</v>
      </c>
      <c r="V30" s="164"/>
    </row>
    <row r="31" ht="26.25" customHeight="1">
      <c r="A31" s="175"/>
      <c r="B31" s="243" t="s">
        <v>121</v>
      </c>
      <c r="C31" s="192" t="s">
        <v>122</v>
      </c>
      <c r="D31" s="14"/>
      <c r="E31" s="223">
        <v>100.0</v>
      </c>
      <c r="F31" s="194">
        <v>10.0</v>
      </c>
      <c r="G31" s="195">
        <v>10.0</v>
      </c>
      <c r="H31" s="194">
        <v>25.0</v>
      </c>
      <c r="I31" s="195">
        <v>10.0</v>
      </c>
      <c r="J31" s="194">
        <v>20.0</v>
      </c>
      <c r="K31" s="195">
        <v>25.0</v>
      </c>
      <c r="L31" s="194">
        <v>25.0</v>
      </c>
      <c r="M31" s="195">
        <v>10.0</v>
      </c>
      <c r="N31" s="194">
        <v>10.0</v>
      </c>
      <c r="O31" s="195">
        <v>10.0</v>
      </c>
      <c r="P31" s="194">
        <v>10.0</v>
      </c>
      <c r="Q31" s="195">
        <v>10.0</v>
      </c>
      <c r="R31" s="194">
        <v>10.0</v>
      </c>
      <c r="S31" s="196">
        <v>10.0</v>
      </c>
      <c r="T31" s="164"/>
      <c r="U31" s="214">
        <f>'OFERTA - DOKUMENT'!K100/C48*60</f>
        <v>0</v>
      </c>
      <c r="V31" s="164"/>
    </row>
    <row r="32" ht="26.25" customHeight="1">
      <c r="A32" s="164"/>
      <c r="B32" s="243" t="s">
        <v>123</v>
      </c>
      <c r="C32" s="192" t="s">
        <v>124</v>
      </c>
      <c r="D32" s="14"/>
      <c r="E32" s="223">
        <v>100.0</v>
      </c>
      <c r="F32" s="194">
        <v>25.0</v>
      </c>
      <c r="G32" s="195">
        <v>15.0</v>
      </c>
      <c r="H32" s="194">
        <v>25.0</v>
      </c>
      <c r="I32" s="195">
        <v>15.0</v>
      </c>
      <c r="J32" s="194">
        <v>15.0</v>
      </c>
      <c r="K32" s="195">
        <v>25.0</v>
      </c>
      <c r="L32" s="194">
        <v>25.0</v>
      </c>
      <c r="M32" s="195">
        <v>25.0</v>
      </c>
      <c r="N32" s="194">
        <v>15.0</v>
      </c>
      <c r="O32" s="195">
        <v>15.0</v>
      </c>
      <c r="P32" s="194">
        <v>15.0</v>
      </c>
      <c r="Q32" s="195">
        <v>15.0</v>
      </c>
      <c r="R32" s="194">
        <v>15.0</v>
      </c>
      <c r="S32" s="196">
        <v>15.0</v>
      </c>
      <c r="T32" s="164"/>
      <c r="U32" s="214">
        <f>'OFERTA - DOKUMENT'!K101/C48*60</f>
        <v>0</v>
      </c>
      <c r="V32" s="164"/>
    </row>
    <row r="33" ht="26.25" customHeight="1">
      <c r="A33" s="175"/>
      <c r="B33" s="243" t="s">
        <v>125</v>
      </c>
      <c r="C33" s="192" t="s">
        <v>126</v>
      </c>
      <c r="D33" s="14"/>
      <c r="E33" s="223">
        <v>0.0</v>
      </c>
      <c r="F33" s="194">
        <v>300.0</v>
      </c>
      <c r="G33" s="195">
        <v>300.0</v>
      </c>
      <c r="H33" s="194">
        <v>450.0</v>
      </c>
      <c r="I33" s="195">
        <v>300.0</v>
      </c>
      <c r="J33" s="194">
        <v>400.0</v>
      </c>
      <c r="K33" s="195">
        <v>400.0</v>
      </c>
      <c r="L33" s="194">
        <v>450.0</v>
      </c>
      <c r="M33" s="195">
        <v>300.0</v>
      </c>
      <c r="N33" s="194">
        <v>400.0</v>
      </c>
      <c r="O33" s="195">
        <v>400.0</v>
      </c>
      <c r="P33" s="194">
        <v>400.0</v>
      </c>
      <c r="Q33" s="195">
        <v>400.0</v>
      </c>
      <c r="R33" s="194">
        <v>400.0</v>
      </c>
      <c r="S33" s="196">
        <v>300.0</v>
      </c>
      <c r="T33" s="164"/>
      <c r="U33" s="214">
        <f>'OFERTA - DOKUMENT'!K102/C48*60</f>
        <v>0</v>
      </c>
      <c r="V33" s="164"/>
    </row>
    <row r="34" ht="26.25" customHeight="1">
      <c r="A34" s="175"/>
      <c r="B34" s="243" t="s">
        <v>90</v>
      </c>
      <c r="C34" s="192" t="s">
        <v>127</v>
      </c>
      <c r="D34" s="14"/>
      <c r="E34" s="223">
        <v>250.0</v>
      </c>
      <c r="F34" s="194"/>
      <c r="G34" s="195"/>
      <c r="H34" s="194"/>
      <c r="I34" s="195"/>
      <c r="J34" s="194"/>
      <c r="K34" s="195"/>
      <c r="L34" s="194"/>
      <c r="M34" s="195"/>
      <c r="N34" s="194"/>
      <c r="O34" s="195"/>
      <c r="P34" s="194"/>
      <c r="Q34" s="195"/>
      <c r="R34" s="194"/>
      <c r="S34" s="196"/>
      <c r="T34" s="164"/>
      <c r="U34" s="214">
        <f>'OFERTA - DOKUMENT'!K104/C48*60</f>
        <v>0</v>
      </c>
      <c r="V34" s="164"/>
    </row>
    <row r="35" ht="15.0" customHeight="1">
      <c r="A35" s="175"/>
      <c r="B35" s="216" t="s">
        <v>128</v>
      </c>
      <c r="C35" s="217"/>
      <c r="D35" s="218"/>
      <c r="E35" s="248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50"/>
      <c r="T35" s="164"/>
      <c r="U35" s="221"/>
      <c r="V35" s="164"/>
    </row>
    <row r="36" ht="26.25" customHeight="1">
      <c r="A36" s="175"/>
      <c r="B36" s="191" t="s">
        <v>129</v>
      </c>
      <c r="C36" s="192" t="s">
        <v>130</v>
      </c>
      <c r="D36" s="177" t="str">
        <f>IF(C53="TAK","MINUTY","ZŁOTÓWKI")</f>
        <v>ZŁOTÓWKI</v>
      </c>
      <c r="E36" s="223">
        <v>100.0</v>
      </c>
      <c r="F36" s="194">
        <v>30.0</v>
      </c>
      <c r="G36" s="195">
        <v>30.0</v>
      </c>
      <c r="H36" s="194">
        <v>100.0</v>
      </c>
      <c r="I36" s="195">
        <v>40.0</v>
      </c>
      <c r="J36" s="194">
        <v>100.0</v>
      </c>
      <c r="K36" s="195">
        <v>40.0</v>
      </c>
      <c r="L36" s="194">
        <v>100.0</v>
      </c>
      <c r="M36" s="195">
        <v>30.0</v>
      </c>
      <c r="N36" s="194">
        <v>100.0</v>
      </c>
      <c r="O36" s="195">
        <v>30.0</v>
      </c>
      <c r="P36" s="194">
        <v>100.0</v>
      </c>
      <c r="Q36" s="195">
        <v>100.0</v>
      </c>
      <c r="R36" s="194">
        <v>30.0</v>
      </c>
      <c r="S36" s="196">
        <v>30.0</v>
      </c>
      <c r="T36" s="164"/>
      <c r="U36" s="214">
        <f>'OFERTA - DOKUMENT'!K106/C48*60</f>
        <v>0</v>
      </c>
      <c r="V36" s="164"/>
    </row>
    <row r="37" ht="26.25" customHeight="1">
      <c r="A37" s="164"/>
      <c r="B37" s="243" t="s">
        <v>131</v>
      </c>
      <c r="C37" s="192" t="s">
        <v>132</v>
      </c>
      <c r="D37" s="14"/>
      <c r="E37" s="223">
        <v>0.0</v>
      </c>
      <c r="F37" s="194">
        <v>30.0</v>
      </c>
      <c r="G37" s="195">
        <v>30.0</v>
      </c>
      <c r="H37" s="194">
        <v>100.0</v>
      </c>
      <c r="I37" s="195">
        <v>40.0</v>
      </c>
      <c r="J37" s="194">
        <v>100.0</v>
      </c>
      <c r="K37" s="195">
        <v>40.0</v>
      </c>
      <c r="L37" s="194">
        <v>100.0</v>
      </c>
      <c r="M37" s="195">
        <v>30.0</v>
      </c>
      <c r="N37" s="194">
        <v>100.0</v>
      </c>
      <c r="O37" s="195">
        <v>30.0</v>
      </c>
      <c r="P37" s="194">
        <v>100.0</v>
      </c>
      <c r="Q37" s="195">
        <v>100.0</v>
      </c>
      <c r="R37" s="194">
        <v>30.0</v>
      </c>
      <c r="S37" s="196">
        <v>30.0</v>
      </c>
      <c r="T37" s="164"/>
      <c r="U37" s="214">
        <f>'OFERTA - DOKUMENT'!K107/C48*60</f>
        <v>0</v>
      </c>
      <c r="V37" s="164"/>
    </row>
    <row r="38" ht="26.25" customHeight="1">
      <c r="A38" s="164"/>
      <c r="B38" s="243" t="s">
        <v>133</v>
      </c>
      <c r="C38" s="192" t="s">
        <v>134</v>
      </c>
      <c r="D38" s="14"/>
      <c r="E38" s="223">
        <v>50.0</v>
      </c>
      <c r="F38" s="194">
        <v>10.0</v>
      </c>
      <c r="G38" s="195">
        <v>10.0</v>
      </c>
      <c r="H38" s="194">
        <v>10.0</v>
      </c>
      <c r="I38" s="195">
        <v>10.0</v>
      </c>
      <c r="J38" s="194">
        <v>10.0</v>
      </c>
      <c r="K38" s="195">
        <v>10.0</v>
      </c>
      <c r="L38" s="194">
        <v>10.0</v>
      </c>
      <c r="M38" s="195">
        <v>10.0</v>
      </c>
      <c r="N38" s="194">
        <v>10.0</v>
      </c>
      <c r="O38" s="195">
        <v>10.0</v>
      </c>
      <c r="P38" s="194">
        <v>10.0</v>
      </c>
      <c r="Q38" s="195">
        <v>10.0</v>
      </c>
      <c r="R38" s="194">
        <v>10.0</v>
      </c>
      <c r="S38" s="196">
        <v>10.0</v>
      </c>
      <c r="T38" s="164"/>
      <c r="U38" s="214">
        <f>'OFERTA - DOKUMENT'!K108/C48*60</f>
        <v>42</v>
      </c>
      <c r="V38" s="164"/>
    </row>
    <row r="39" ht="26.25" customHeight="1">
      <c r="A39" s="164"/>
      <c r="B39" s="183" t="s">
        <v>135</v>
      </c>
      <c r="C39" s="251" t="s">
        <v>136</v>
      </c>
      <c r="D39" s="14"/>
      <c r="E39" s="223">
        <v>60.0</v>
      </c>
      <c r="F39" s="194">
        <v>25.0</v>
      </c>
      <c r="G39" s="195">
        <v>25.0</v>
      </c>
      <c r="H39" s="194">
        <v>35.0</v>
      </c>
      <c r="I39" s="195">
        <v>25.0</v>
      </c>
      <c r="J39" s="194">
        <v>35.0</v>
      </c>
      <c r="K39" s="195">
        <v>35.0</v>
      </c>
      <c r="L39" s="194">
        <v>35.0</v>
      </c>
      <c r="M39" s="195">
        <v>25.0</v>
      </c>
      <c r="N39" s="194">
        <v>25.0</v>
      </c>
      <c r="O39" s="195">
        <v>25.0</v>
      </c>
      <c r="P39" s="194">
        <v>25.0</v>
      </c>
      <c r="Q39" s="195">
        <v>25.0</v>
      </c>
      <c r="R39" s="194">
        <v>25.0</v>
      </c>
      <c r="S39" s="196">
        <v>15.0</v>
      </c>
      <c r="T39" s="252" t="s">
        <v>137</v>
      </c>
      <c r="U39" s="214">
        <f>'OFERTA - DOKUMENT'!K109/C48*60</f>
        <v>60</v>
      </c>
      <c r="V39" s="253"/>
    </row>
    <row r="40" ht="26.25" customHeight="1">
      <c r="A40" s="164"/>
      <c r="B40" s="243" t="s">
        <v>138</v>
      </c>
      <c r="C40" s="254" t="s">
        <v>139</v>
      </c>
      <c r="D40" s="14"/>
      <c r="E40" s="223">
        <v>100.0</v>
      </c>
      <c r="F40" s="194" t="s">
        <v>140</v>
      </c>
      <c r="G40" s="195" t="s">
        <v>140</v>
      </c>
      <c r="H40" s="194" t="s">
        <v>140</v>
      </c>
      <c r="I40" s="195" t="s">
        <v>140</v>
      </c>
      <c r="J40" s="194" t="s">
        <v>140</v>
      </c>
      <c r="K40" s="195" t="s">
        <v>140</v>
      </c>
      <c r="L40" s="194" t="s">
        <v>140</v>
      </c>
      <c r="M40" s="195" t="s">
        <v>140</v>
      </c>
      <c r="N40" s="194" t="s">
        <v>140</v>
      </c>
      <c r="O40" s="195" t="s">
        <v>140</v>
      </c>
      <c r="P40" s="194" t="s">
        <v>140</v>
      </c>
      <c r="Q40" s="195" t="s">
        <v>140</v>
      </c>
      <c r="R40" s="194" t="s">
        <v>140</v>
      </c>
      <c r="S40" s="196" t="s">
        <v>140</v>
      </c>
      <c r="T40" s="164"/>
      <c r="U40" s="255" t="s">
        <v>140</v>
      </c>
      <c r="V40" s="164"/>
    </row>
    <row r="41" ht="18.75" customHeight="1">
      <c r="A41" s="175"/>
      <c r="B41" s="216" t="s">
        <v>141</v>
      </c>
      <c r="C41" s="217"/>
      <c r="D41" s="218"/>
      <c r="E41" s="21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7"/>
      <c r="T41" s="164"/>
      <c r="U41" s="221"/>
      <c r="V41" s="164"/>
    </row>
    <row r="42" ht="26.25" customHeight="1">
      <c r="A42" s="175"/>
      <c r="B42" s="183" t="s">
        <v>142</v>
      </c>
      <c r="C42" s="184" t="s">
        <v>143</v>
      </c>
      <c r="D42" s="177" t="s">
        <v>144</v>
      </c>
      <c r="E42" s="258">
        <v>0.25</v>
      </c>
      <c r="F42" s="224" t="s">
        <v>140</v>
      </c>
      <c r="G42" s="259" t="s">
        <v>140</v>
      </c>
      <c r="H42" s="224" t="s">
        <v>140</v>
      </c>
      <c r="I42" s="259" t="s">
        <v>140</v>
      </c>
      <c r="J42" s="224" t="s">
        <v>140</v>
      </c>
      <c r="K42" s="259" t="s">
        <v>140</v>
      </c>
      <c r="L42" s="224" t="s">
        <v>140</v>
      </c>
      <c r="M42" s="259" t="s">
        <v>140</v>
      </c>
      <c r="N42" s="224" t="s">
        <v>140</v>
      </c>
      <c r="O42" s="259" t="s">
        <v>140</v>
      </c>
      <c r="P42" s="224" t="s">
        <v>140</v>
      </c>
      <c r="Q42" s="259" t="s">
        <v>140</v>
      </c>
      <c r="R42" s="224" t="s">
        <v>140</v>
      </c>
      <c r="S42" s="225" t="s">
        <v>140</v>
      </c>
      <c r="T42" s="164"/>
      <c r="U42" s="214" t="s">
        <v>140</v>
      </c>
      <c r="V42" s="164"/>
    </row>
    <row r="43" ht="26.25" customHeight="1">
      <c r="A43" s="175"/>
      <c r="B43" s="260" t="s">
        <v>145</v>
      </c>
      <c r="C43" s="199" t="s">
        <v>146</v>
      </c>
      <c r="D43" s="14"/>
      <c r="E43" s="261">
        <v>0.2</v>
      </c>
      <c r="F43" s="224" t="s">
        <v>140</v>
      </c>
      <c r="G43" s="259" t="s">
        <v>140</v>
      </c>
      <c r="H43" s="224" t="s">
        <v>140</v>
      </c>
      <c r="I43" s="259" t="s">
        <v>140</v>
      </c>
      <c r="J43" s="224" t="s">
        <v>140</v>
      </c>
      <c r="K43" s="259" t="s">
        <v>140</v>
      </c>
      <c r="L43" s="224" t="s">
        <v>140</v>
      </c>
      <c r="M43" s="259" t="s">
        <v>140</v>
      </c>
      <c r="N43" s="224" t="s">
        <v>140</v>
      </c>
      <c r="O43" s="259" t="s">
        <v>140</v>
      </c>
      <c r="P43" s="224" t="s">
        <v>140</v>
      </c>
      <c r="Q43" s="259" t="s">
        <v>140</v>
      </c>
      <c r="R43" s="224" t="s">
        <v>140</v>
      </c>
      <c r="S43" s="225" t="s">
        <v>140</v>
      </c>
      <c r="T43" s="164"/>
      <c r="U43" s="214" t="s">
        <v>140</v>
      </c>
      <c r="V43" s="164"/>
    </row>
    <row r="44" ht="26.25" customHeight="1">
      <c r="A44" s="175"/>
      <c r="B44" s="260" t="s">
        <v>147</v>
      </c>
      <c r="C44" s="199" t="s">
        <v>148</v>
      </c>
      <c r="D44" s="14"/>
      <c r="E44" s="261">
        <v>0.05</v>
      </c>
      <c r="F44" s="224" t="s">
        <v>140</v>
      </c>
      <c r="G44" s="259" t="s">
        <v>140</v>
      </c>
      <c r="H44" s="224" t="s">
        <v>140</v>
      </c>
      <c r="I44" s="259" t="s">
        <v>140</v>
      </c>
      <c r="J44" s="224" t="s">
        <v>140</v>
      </c>
      <c r="K44" s="259" t="s">
        <v>140</v>
      </c>
      <c r="L44" s="224" t="s">
        <v>140</v>
      </c>
      <c r="M44" s="259" t="s">
        <v>140</v>
      </c>
      <c r="N44" s="224" t="s">
        <v>140</v>
      </c>
      <c r="O44" s="259" t="s">
        <v>140</v>
      </c>
      <c r="P44" s="224" t="s">
        <v>140</v>
      </c>
      <c r="Q44" s="259" t="s">
        <v>140</v>
      </c>
      <c r="R44" s="224" t="s">
        <v>140</v>
      </c>
      <c r="S44" s="225" t="s">
        <v>140</v>
      </c>
      <c r="T44" s="164"/>
      <c r="U44" s="214" t="s">
        <v>140</v>
      </c>
      <c r="V44" s="164"/>
    </row>
    <row r="45" ht="26.25" customHeight="1">
      <c r="A45" s="175"/>
      <c r="B45" s="260" t="s">
        <v>149</v>
      </c>
      <c r="C45" s="199" t="s">
        <v>150</v>
      </c>
      <c r="D45" s="14"/>
      <c r="E45" s="261">
        <v>0.05</v>
      </c>
      <c r="F45" s="224" t="s">
        <v>140</v>
      </c>
      <c r="G45" s="259" t="s">
        <v>140</v>
      </c>
      <c r="H45" s="224" t="s">
        <v>140</v>
      </c>
      <c r="I45" s="259" t="s">
        <v>140</v>
      </c>
      <c r="J45" s="224" t="s">
        <v>140</v>
      </c>
      <c r="K45" s="259" t="s">
        <v>140</v>
      </c>
      <c r="L45" s="224" t="s">
        <v>140</v>
      </c>
      <c r="M45" s="259" t="s">
        <v>140</v>
      </c>
      <c r="N45" s="224" t="s">
        <v>140</v>
      </c>
      <c r="O45" s="259" t="s">
        <v>140</v>
      </c>
      <c r="P45" s="224" t="s">
        <v>140</v>
      </c>
      <c r="Q45" s="259" t="s">
        <v>140</v>
      </c>
      <c r="R45" s="224" t="s">
        <v>140</v>
      </c>
      <c r="S45" s="225" t="s">
        <v>140</v>
      </c>
      <c r="T45" s="164"/>
      <c r="U45" s="214" t="s">
        <v>140</v>
      </c>
      <c r="V45" s="164"/>
    </row>
    <row r="46" ht="26.25" customHeight="1">
      <c r="A46" s="175"/>
      <c r="B46" s="262" t="s">
        <v>151</v>
      </c>
      <c r="C46" s="263" t="s">
        <v>152</v>
      </c>
      <c r="D46" s="19"/>
      <c r="E46" s="264">
        <v>0.05</v>
      </c>
      <c r="F46" s="265" t="s">
        <v>140</v>
      </c>
      <c r="G46" s="266" t="s">
        <v>140</v>
      </c>
      <c r="H46" s="265" t="s">
        <v>140</v>
      </c>
      <c r="I46" s="266" t="s">
        <v>140</v>
      </c>
      <c r="J46" s="265" t="s">
        <v>140</v>
      </c>
      <c r="K46" s="266" t="s">
        <v>140</v>
      </c>
      <c r="L46" s="265" t="s">
        <v>140</v>
      </c>
      <c r="M46" s="266" t="s">
        <v>140</v>
      </c>
      <c r="N46" s="265" t="s">
        <v>140</v>
      </c>
      <c r="O46" s="266" t="s">
        <v>140</v>
      </c>
      <c r="P46" s="265" t="s">
        <v>140</v>
      </c>
      <c r="Q46" s="266" t="s">
        <v>140</v>
      </c>
      <c r="R46" s="265" t="s">
        <v>140</v>
      </c>
      <c r="S46" s="267" t="s">
        <v>140</v>
      </c>
      <c r="T46" s="164"/>
      <c r="U46" s="268" t="s">
        <v>140</v>
      </c>
      <c r="V46" s="164"/>
    </row>
    <row r="47" ht="15.0" customHeight="1">
      <c r="A47" s="175"/>
      <c r="B47" s="182"/>
      <c r="C47" s="182"/>
      <c r="D47" s="182"/>
      <c r="E47" s="182"/>
      <c r="F47" s="182"/>
      <c r="G47" s="182"/>
      <c r="H47" s="182"/>
      <c r="I47" s="182"/>
      <c r="J47" s="269" t="s">
        <v>153</v>
      </c>
      <c r="T47" s="182"/>
      <c r="U47" s="182"/>
      <c r="V47" s="182"/>
    </row>
    <row r="48" ht="15.0" customHeight="1">
      <c r="A48" s="164"/>
      <c r="B48" s="270" t="s">
        <v>154</v>
      </c>
      <c r="C48" s="271">
        <v>200.0</v>
      </c>
      <c r="D48" s="164"/>
      <c r="E48" s="164"/>
      <c r="F48" s="164"/>
      <c r="G48" s="164"/>
      <c r="H48" s="164"/>
      <c r="I48" s="164"/>
      <c r="J48" s="272"/>
      <c r="K48" s="273"/>
      <c r="L48" s="273"/>
      <c r="M48" s="274"/>
      <c r="N48" s="274"/>
      <c r="O48" s="274"/>
      <c r="P48" s="274"/>
      <c r="Q48" s="275" t="s">
        <v>155</v>
      </c>
      <c r="R48" s="276" t="str">
        <f> IF('OFERTA - DOKUMENT'!D109="TAK",('OFERTA - DANE'!E39 + IF('OFERTA - DOKUMENT'!M21="TAK",'OFERTA - DANE'!F39,0)*'OFERTA - DOKUMENT'!J21  + IF('OFERTA - DOKUMENT'!M28="TAK",'OFERTA - DANE'!G39,0)*'OFERTA - DOKUMENT'!J28 + IF('OFERTA - DOKUMENT'!M35="TAK",'OFERTA - DANE'!H39,0)*'OFERTA - DOKUMENT'!J35 + IF('OFERTA - DOKUMENT'!M42="TAK",'OFERTA - DANE'!I39,0)*'OFERTA - DOKUMENT'!J42 + IF('OFERTA - DOKUMENT'!M49="TAK",'OFERTA - DANE'!J39,0)*'OFERTA - DOKUMENT'!J49 + IF('OFERTA - DOKUMENT'!M53="TAK",'OFERTA - DANE'!K39,0)*'OFERTA - DOKUMENT'!J53 + IF('OFERTA - DOKUMENT'!M56="TAK",'OFERTA - DANE'!L39,0)*'OFERTA - DOKUMENT'!J56 + IF('OFERTA - DOKUMENT'!M59="TAK",'OFERTA - DANE'!M39,0)*'OFERTA - DOKUMENT'!J59 + IF('OFERTA - DOKUMENT'!M62="TAK",'OFERTA - DANE'!N39,0)*'OFERTA - DOKUMENT'!J62 + IF('OFERTA - DOKUMENT'!M70="TAK",'OFERTA - DANE'!O39,0)*'OFERTA - DOKUMENT'!J70 + IF('OFERTA - DOKUMENT'!M73="TAK",'OFERTA - DANE'!P39,0)*'OFERTA - DOKUMENT'!J73 + IF('OFERTA - DOKUMENT'!M80="TAK",'OFERTA - DANE'!Q39,0)*'OFERTA - DOKUMENT'!J80 + IF('OFERTA - DOKUMENT'!M87="TAK",'OFERTA - DANE'!R39,0)*'OFERTA - DOKUMENT'!J87 + IF('OFERTA - DOKUMENT'!M90="TAK",'OFERTA - DANE'!S39,0)*'OFERTA - DOKUMENT'!J90),0) &amp; " minut"</f>
        <v>245 minut</v>
      </c>
      <c r="S48" s="75"/>
      <c r="T48" s="164"/>
      <c r="U48" s="164"/>
      <c r="V48" s="164"/>
    </row>
    <row r="49" ht="15.0" customHeight="1">
      <c r="A49" s="175"/>
      <c r="B49" s="19"/>
      <c r="C49" s="19"/>
      <c r="D49" s="164"/>
      <c r="E49" s="164"/>
      <c r="F49" s="164"/>
      <c r="G49" s="164"/>
      <c r="H49" s="164"/>
      <c r="I49" s="164"/>
      <c r="J49" s="277"/>
      <c r="K49" s="164"/>
      <c r="L49" s="164"/>
      <c r="M49" s="164"/>
      <c r="N49" s="164"/>
      <c r="O49" s="164"/>
      <c r="P49" s="164"/>
      <c r="Q49" s="164"/>
      <c r="R49" s="164"/>
      <c r="S49" s="278"/>
      <c r="T49" s="164"/>
      <c r="U49" s="164"/>
      <c r="V49" s="164"/>
    </row>
    <row r="50" ht="15.0" customHeight="1">
      <c r="A50" s="175"/>
      <c r="B50" s="164"/>
      <c r="C50" s="164"/>
      <c r="D50" s="164"/>
      <c r="E50" s="164"/>
      <c r="F50" s="164"/>
      <c r="G50" s="164"/>
      <c r="H50" s="164"/>
      <c r="I50" s="164"/>
      <c r="J50" s="277"/>
      <c r="K50" s="164"/>
      <c r="L50" s="164"/>
      <c r="M50" s="164"/>
      <c r="N50" s="164"/>
      <c r="O50" s="164"/>
      <c r="P50" s="164"/>
      <c r="Q50" s="279" t="s">
        <v>156</v>
      </c>
      <c r="R50" s="280">
        <f>SUM('OFERTA - DOKUMENT'!K14:K19)</f>
        <v>950</v>
      </c>
      <c r="S50" s="79"/>
      <c r="T50" s="164"/>
      <c r="U50" s="164"/>
      <c r="V50" s="164"/>
    </row>
    <row r="51" ht="15.0" customHeight="1">
      <c r="A51" s="164"/>
      <c r="D51" s="164"/>
      <c r="E51" s="164"/>
      <c r="F51" s="164"/>
      <c r="G51" s="164"/>
      <c r="H51" s="164"/>
      <c r="I51" s="164"/>
      <c r="J51" s="277"/>
      <c r="K51" s="164"/>
      <c r="L51" s="164"/>
      <c r="M51" s="164"/>
      <c r="N51" s="164"/>
      <c r="O51" s="164"/>
      <c r="P51" s="164"/>
      <c r="Q51" s="279" t="s">
        <v>157</v>
      </c>
      <c r="R51" s="280">
        <f>SUM('OFERTA - DOKUMENT'!K22:K93)</f>
        <v>14200</v>
      </c>
      <c r="S51" s="79"/>
      <c r="T51" s="164"/>
      <c r="U51" s="164"/>
      <c r="V51" s="164"/>
    </row>
    <row r="52" ht="15.0" customHeight="1">
      <c r="A52" s="164"/>
      <c r="B52" s="281" t="s">
        <v>158</v>
      </c>
      <c r="C52" s="169"/>
      <c r="D52" s="282"/>
      <c r="E52" s="164"/>
      <c r="F52" s="164"/>
      <c r="G52" s="164"/>
      <c r="H52" s="164"/>
      <c r="I52" s="164"/>
      <c r="J52" s="277"/>
      <c r="K52" s="164"/>
      <c r="L52" s="164"/>
      <c r="M52" s="164"/>
      <c r="N52" s="164"/>
      <c r="O52" s="164"/>
      <c r="P52" s="164"/>
      <c r="Q52" s="279" t="s">
        <v>159</v>
      </c>
      <c r="R52" s="280">
        <f>SUM('OFERTA - DOKUMENT'!K95:K104)</f>
        <v>0</v>
      </c>
      <c r="S52" s="79"/>
      <c r="T52" s="164"/>
      <c r="U52" s="164"/>
      <c r="V52" s="164"/>
    </row>
    <row r="53" ht="15.0" customHeight="1">
      <c r="A53" s="164"/>
      <c r="B53" s="283" t="s">
        <v>160</v>
      </c>
      <c r="C53" s="284" t="s">
        <v>48</v>
      </c>
      <c r="D53" s="282"/>
      <c r="E53" s="164"/>
      <c r="F53" s="164"/>
      <c r="G53" s="164"/>
      <c r="H53" s="164"/>
      <c r="I53" s="164"/>
      <c r="J53" s="277"/>
      <c r="K53" s="164"/>
      <c r="L53" s="164"/>
      <c r="M53" s="164"/>
      <c r="N53" s="164"/>
      <c r="O53" s="164"/>
      <c r="P53" s="164"/>
      <c r="Q53" s="279" t="s">
        <v>161</v>
      </c>
      <c r="R53" s="280">
        <f>SUM('OFERTA - DOKUMENT'!K106:K110)</f>
        <v>340</v>
      </c>
      <c r="S53" s="79"/>
      <c r="T53" s="164"/>
      <c r="U53" s="164"/>
      <c r="V53" s="164"/>
    </row>
    <row r="54" ht="15.0" customHeight="1">
      <c r="A54" s="164"/>
      <c r="B54" s="285" t="s">
        <v>162</v>
      </c>
      <c r="C54" s="286" t="str">
        <f>IF(C53="TAK","NIE","TAK")</f>
        <v>TAK</v>
      </c>
      <c r="D54" s="164"/>
      <c r="E54" s="164"/>
      <c r="F54" s="164"/>
      <c r="G54" s="164"/>
      <c r="H54" s="164"/>
      <c r="I54" s="164"/>
      <c r="J54" s="287"/>
      <c r="K54" s="288"/>
      <c r="L54" s="288"/>
      <c r="M54" s="288"/>
      <c r="N54" s="288"/>
      <c r="O54" s="288"/>
      <c r="P54" s="288"/>
      <c r="Q54" s="289" t="s">
        <v>163</v>
      </c>
      <c r="R54" s="290">
        <f>SUM('OFERTA - DOKUMENT'!K112:K116)</f>
        <v>490</v>
      </c>
      <c r="S54" s="26"/>
      <c r="T54" s="164"/>
      <c r="U54" s="164"/>
      <c r="V54" s="164"/>
    </row>
    <row r="55" ht="15.0" customHeight="1">
      <c r="A55" s="164"/>
      <c r="D55" s="164"/>
      <c r="E55" s="164"/>
      <c r="F55" s="164"/>
      <c r="G55" s="164"/>
      <c r="H55" s="164"/>
      <c r="I55" s="164"/>
      <c r="T55" s="164"/>
      <c r="U55" s="164"/>
      <c r="V55" s="164"/>
    </row>
    <row r="56" ht="15.0" customHeight="1">
      <c r="A56" s="164"/>
      <c r="B56" s="164"/>
      <c r="C56" s="164"/>
      <c r="D56" s="164"/>
      <c r="E56" s="164"/>
      <c r="F56" s="164"/>
      <c r="G56" s="164"/>
      <c r="H56" s="164"/>
      <c r="I56" s="164"/>
      <c r="T56" s="164"/>
      <c r="U56" s="164"/>
      <c r="V56" s="164"/>
    </row>
    <row r="57" ht="15.0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K6:K9"/>
    <mergeCell ref="L6:L9"/>
    <mergeCell ref="M6:M9"/>
    <mergeCell ref="N6:N9"/>
    <mergeCell ref="O6:O9"/>
    <mergeCell ref="P6:P9"/>
    <mergeCell ref="Q6:Q9"/>
    <mergeCell ref="R6:R9"/>
    <mergeCell ref="D5:D9"/>
    <mergeCell ref="B10:C10"/>
    <mergeCell ref="D10:D17"/>
    <mergeCell ref="B14:B15"/>
    <mergeCell ref="E14:E15"/>
    <mergeCell ref="F14:F15"/>
    <mergeCell ref="B18:C18"/>
    <mergeCell ref="B2:B4"/>
    <mergeCell ref="D2:V3"/>
    <mergeCell ref="E5:E9"/>
    <mergeCell ref="F5:S5"/>
    <mergeCell ref="U5:U9"/>
    <mergeCell ref="F6:F9"/>
    <mergeCell ref="S6:S9"/>
    <mergeCell ref="S14:S15"/>
    <mergeCell ref="U14:U15"/>
    <mergeCell ref="L14:L15"/>
    <mergeCell ref="M14:M15"/>
    <mergeCell ref="N14:N15"/>
    <mergeCell ref="O14:O15"/>
    <mergeCell ref="P14:P15"/>
    <mergeCell ref="Q14:Q15"/>
    <mergeCell ref="R14:R15"/>
    <mergeCell ref="D26:D34"/>
    <mergeCell ref="B35:C35"/>
    <mergeCell ref="D36:D40"/>
    <mergeCell ref="B41:C41"/>
    <mergeCell ref="D42:D46"/>
    <mergeCell ref="B48:B49"/>
    <mergeCell ref="C48:C49"/>
    <mergeCell ref="B52:C52"/>
    <mergeCell ref="H22:H23"/>
    <mergeCell ref="I22:I23"/>
    <mergeCell ref="J22:J23"/>
    <mergeCell ref="K22:K23"/>
    <mergeCell ref="L22:L23"/>
    <mergeCell ref="M22:M23"/>
    <mergeCell ref="N22:N23"/>
    <mergeCell ref="R53:S53"/>
    <mergeCell ref="R54:S54"/>
    <mergeCell ref="O22:O23"/>
    <mergeCell ref="P22:P23"/>
    <mergeCell ref="J47:S47"/>
    <mergeCell ref="R48:S48"/>
    <mergeCell ref="R50:S50"/>
    <mergeCell ref="R51:S51"/>
    <mergeCell ref="R52:S52"/>
    <mergeCell ref="I6:I9"/>
    <mergeCell ref="J6:J9"/>
    <mergeCell ref="G6:G9"/>
    <mergeCell ref="H6:H9"/>
    <mergeCell ref="G14:G15"/>
    <mergeCell ref="H14:H15"/>
    <mergeCell ref="I14:I15"/>
    <mergeCell ref="J14:J15"/>
    <mergeCell ref="K14:K15"/>
    <mergeCell ref="Q20:Q21"/>
    <mergeCell ref="R20:R21"/>
    <mergeCell ref="S20:S21"/>
    <mergeCell ref="U20:U21"/>
    <mergeCell ref="Q22:Q23"/>
    <mergeCell ref="R22:R23"/>
    <mergeCell ref="S22:S23"/>
    <mergeCell ref="U22:U23"/>
    <mergeCell ref="J20:J21"/>
    <mergeCell ref="K20:K21"/>
    <mergeCell ref="L20:L21"/>
    <mergeCell ref="M20:M21"/>
    <mergeCell ref="N20:N21"/>
    <mergeCell ref="O20:O21"/>
    <mergeCell ref="P20:P21"/>
    <mergeCell ref="E20:E21"/>
    <mergeCell ref="E22:E23"/>
    <mergeCell ref="F22:F23"/>
    <mergeCell ref="G22:G23"/>
    <mergeCell ref="D19:D24"/>
    <mergeCell ref="B20:B21"/>
    <mergeCell ref="F20:F21"/>
    <mergeCell ref="G20:G21"/>
    <mergeCell ref="H20:H21"/>
    <mergeCell ref="I20:I21"/>
    <mergeCell ref="B22:B23"/>
    <mergeCell ref="B25:C25"/>
  </mergeCells>
  <conditionalFormatting sqref="U11:U15">
    <cfRule type="expression" dxfId="1" priority="1">
      <formula>'OFERTA - DANE'!N11="nie"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3" width="1.38"/>
    <col customWidth="1" min="4" max="4" width="4.5"/>
    <col customWidth="1" min="5" max="5" width="25.88"/>
    <col customWidth="1" min="6" max="6" width="2.0"/>
    <col customWidth="1" min="7" max="7" width="23.88"/>
    <col customWidth="1" min="8" max="8" width="10.13"/>
    <col customWidth="1" min="9" max="9" width="6.25"/>
    <col customWidth="1" min="10" max="10" width="3.75"/>
    <col customWidth="1" min="11" max="11" width="9.5"/>
    <col customWidth="1" min="12" max="12" width="2.38"/>
    <col customWidth="1" min="13" max="13" width="2.5"/>
    <col customWidth="1" min="14" max="14" width="2.38"/>
  </cols>
  <sheetData>
    <row r="1" ht="15.0" customHeight="1">
      <c r="A1" s="291"/>
      <c r="F1" s="279"/>
      <c r="G1" s="279"/>
      <c r="H1" s="279"/>
      <c r="I1" s="292" t="s">
        <v>164</v>
      </c>
      <c r="J1" s="292"/>
      <c r="K1" s="293">
        <f>TODAY()</f>
        <v>46211</v>
      </c>
      <c r="L1" s="13"/>
      <c r="M1" s="13"/>
      <c r="N1" s="13"/>
    </row>
    <row r="2" ht="15.0" customHeight="1">
      <c r="F2" s="294"/>
      <c r="G2" s="294"/>
      <c r="H2" s="294"/>
      <c r="I2" s="292" t="s">
        <v>165</v>
      </c>
      <c r="J2" s="292"/>
      <c r="K2" s="295" t="s">
        <v>41</v>
      </c>
      <c r="L2" s="13"/>
      <c r="M2" s="13"/>
      <c r="N2" s="13"/>
    </row>
    <row r="3" ht="15.0" customHeight="1">
      <c r="F3" s="296"/>
      <c r="G3" s="296"/>
      <c r="H3" s="297" t="s">
        <v>166</v>
      </c>
      <c r="I3" s="298" t="s">
        <v>167</v>
      </c>
      <c r="J3" s="13"/>
      <c r="K3" s="13"/>
      <c r="L3" s="13"/>
      <c r="M3" s="13"/>
      <c r="N3" s="13"/>
    </row>
    <row r="4" ht="15.0" customHeight="1">
      <c r="F4" s="296"/>
      <c r="G4" s="296"/>
      <c r="H4" s="297" t="s">
        <v>168</v>
      </c>
      <c r="I4" s="299"/>
      <c r="J4" s="13"/>
      <c r="K4" s="13"/>
      <c r="L4" s="13"/>
      <c r="M4" s="13"/>
      <c r="N4" s="13"/>
    </row>
    <row r="5" ht="15.0" customHeight="1">
      <c r="F5" s="164"/>
      <c r="G5" s="164"/>
      <c r="H5" s="297" t="s">
        <v>169</v>
      </c>
      <c r="I5" s="300"/>
      <c r="J5" s="13"/>
      <c r="K5" s="13"/>
      <c r="L5" s="13"/>
      <c r="M5" s="13"/>
      <c r="N5" s="13"/>
    </row>
    <row r="6" ht="15.0" customHeight="1">
      <c r="A6" s="301" t="s">
        <v>170</v>
      </c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3"/>
    </row>
    <row r="7" ht="15.0" customHeight="1">
      <c r="A7" s="304"/>
      <c r="N7" s="305"/>
    </row>
    <row r="8" ht="15.0" customHeight="1">
      <c r="A8" s="306"/>
      <c r="B8" s="307"/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308"/>
    </row>
    <row r="9" ht="18.75" customHeight="1">
      <c r="A9" s="309"/>
      <c r="B9" s="309"/>
      <c r="C9" s="309"/>
      <c r="D9" s="310" t="s">
        <v>171</v>
      </c>
      <c r="E9" s="311"/>
      <c r="F9" s="312" t="s">
        <v>172</v>
      </c>
      <c r="G9" s="217"/>
      <c r="H9" s="217"/>
      <c r="I9" s="217"/>
      <c r="J9" s="311"/>
      <c r="K9" s="313" t="s">
        <v>173</v>
      </c>
      <c r="L9" s="314"/>
      <c r="M9" s="315"/>
      <c r="N9" s="173"/>
    </row>
    <row r="10" ht="18.75" customHeight="1">
      <c r="A10" s="316"/>
      <c r="B10" s="316"/>
      <c r="C10" s="316"/>
      <c r="D10" s="317" t="s">
        <v>69</v>
      </c>
      <c r="E10" s="35"/>
      <c r="F10" s="35"/>
      <c r="G10" s="35"/>
      <c r="H10" s="35"/>
      <c r="I10" s="35"/>
      <c r="J10" s="35"/>
      <c r="K10" s="26"/>
      <c r="L10" s="315"/>
      <c r="M10" s="315"/>
      <c r="N10" s="173"/>
    </row>
    <row r="11" ht="22.5" customHeight="1">
      <c r="A11" s="316"/>
      <c r="B11" s="316"/>
      <c r="C11" s="316"/>
      <c r="D11" s="318" t="s">
        <v>174</v>
      </c>
      <c r="E11" s="74"/>
      <c r="F11" s="74"/>
      <c r="G11" s="74"/>
      <c r="H11" s="74"/>
      <c r="I11" s="74"/>
      <c r="J11" s="74"/>
      <c r="K11" s="75"/>
      <c r="L11" s="319">
        <f>LEN(IF(M21="TAK",G21&amp;IF(J21&gt;1," x"&amp;J21,"")&amp;", ","") &amp; IF(M28="TAK",G28 &amp; IF(J28&gt;1," x"&amp;J28,"")&amp;", ","") &amp; IF(M35="TAK",G35&amp;IF(J35&gt;1," x"&amp;J35,"")&amp;", ","") &amp; IF(M42="TAK",G42&amp;IF(J42&gt;1," x"&amp;J42,"")&amp;", ","") &amp; IF(M49="TAK",G49&amp;IF(J49&gt;1," x" &amp; J49,"")&amp;", ","") &amp; IF(M53="TAK",G53 &amp; IF(J53&gt;1," x" &amp; J53,"")&amp;", ","") &amp; IF(M56="TAK",G56 &amp; IF(J56&gt;1," x" &amp; J56,"")&amp;", ","") &amp; IF(M59="TAK",G59 &amp; IF(J59&gt;1," x" &amp; J59,"")&amp;", ","") &amp; IF(M62="TAK",G62&amp;IF(J62&gt;1," x"&amp;J62,"")&amp;", ","") &amp; IF(M70="TAK",G70&amp;IF(J70&gt;1," x"&amp;J70,"")&amp;", ","") &amp; IF(M73="TAK",G73&amp;IF(J73&gt;1," x"&amp;J73,"")&amp;", ","") &amp; IF(M80="TAK",G80&amp;IF(J80&gt;1," x"&amp;J80,"")&amp;", ","") &amp; IF(M87="TAK",G87&amp;IF(J87&gt;1," x"&amp;J87,"")&amp;", ","") &amp; IF(M90="TAK",G90&amp;IF(J90&gt;1," x"&amp;J90,"")&amp;", ",""))</f>
        <v>107</v>
      </c>
      <c r="M11" s="320"/>
      <c r="N11" s="321"/>
    </row>
    <row r="12" ht="22.5" customHeight="1">
      <c r="A12" s="316"/>
      <c r="B12" s="316"/>
      <c r="C12" s="316"/>
      <c r="D12" s="322"/>
      <c r="E12" s="323"/>
      <c r="F12" s="323"/>
      <c r="G12" s="323"/>
      <c r="H12" s="323"/>
      <c r="I12" s="323"/>
      <c r="J12" s="323"/>
      <c r="K12" s="324"/>
      <c r="L12" s="315"/>
      <c r="M12" s="325"/>
      <c r="N12" s="321"/>
    </row>
    <row r="13" ht="15.0" customHeight="1">
      <c r="A13" s="316"/>
      <c r="B13" s="316"/>
      <c r="C13" s="316"/>
      <c r="D13" s="326" t="str">
        <f>'OFERTA - DANE'!B10</f>
        <v>ETAP FUNKCJONALNY</v>
      </c>
      <c r="E13" s="35"/>
      <c r="F13" s="35"/>
      <c r="G13" s="35"/>
      <c r="H13" s="35"/>
      <c r="I13" s="35"/>
      <c r="J13" s="35"/>
      <c r="K13" s="26"/>
      <c r="L13" s="316"/>
      <c r="M13" s="325"/>
      <c r="N13" s="316"/>
    </row>
    <row r="14" ht="18.75" customHeight="1">
      <c r="A14" s="315"/>
      <c r="B14" s="315"/>
      <c r="C14" s="315"/>
      <c r="D14" s="87" t="s">
        <v>47</v>
      </c>
      <c r="E14" s="327" t="str">
        <f>'OFERTA - DANE'!B11</f>
        <v>Inwentaryzacja</v>
      </c>
      <c r="F14" s="328" t="str">
        <f>'OFERTA - DANE'!C11</f>
        <v>Pomiar inwestycji i wykonanie dokumentacji fotograficznej.</v>
      </c>
      <c r="G14" s="217"/>
      <c r="H14" s="217"/>
      <c r="I14" s="217"/>
      <c r="J14" s="311"/>
      <c r="K14" s="329">
        <v>0.0</v>
      </c>
      <c r="L14" s="330"/>
      <c r="M14" s="325"/>
      <c r="N14" s="321"/>
    </row>
    <row r="15" ht="18.75" customHeight="1">
      <c r="A15" s="315"/>
      <c r="B15" s="315"/>
      <c r="C15" s="315"/>
      <c r="D15" s="87" t="s">
        <v>47</v>
      </c>
      <c r="E15" s="331" t="str">
        <f>'OFERTA - DANE'!B12</f>
        <v>Spotkanie</v>
      </c>
      <c r="F15" s="332" t="str">
        <f>'OFERTA - DANE'!C12</f>
        <v>Przeprowadzenie ankiety preferencji projektowych.</v>
      </c>
      <c r="G15" s="217"/>
      <c r="H15" s="217"/>
      <c r="I15" s="217"/>
      <c r="J15" s="311"/>
      <c r="K15" s="329">
        <v>200.0</v>
      </c>
      <c r="L15" s="330"/>
      <c r="M15" s="325"/>
      <c r="N15" s="321"/>
    </row>
    <row r="16" ht="18.75" customHeight="1">
      <c r="A16" s="315"/>
      <c r="B16" s="315"/>
      <c r="C16" s="315"/>
      <c r="D16" s="87" t="s">
        <v>47</v>
      </c>
      <c r="E16" s="331" t="str">
        <f>'OFERTA - DANE'!B13</f>
        <v>Rzut inwentaryzacyjny</v>
      </c>
      <c r="F16" s="332" t="str">
        <f>'OFERTA - DANE'!C13</f>
        <v>Rysunek na bazie inwentaryzacji lub rzutów deweloperskich.</v>
      </c>
      <c r="G16" s="217"/>
      <c r="H16" s="217"/>
      <c r="I16" s="217"/>
      <c r="J16" s="311"/>
      <c r="K16" s="329">
        <v>0.0</v>
      </c>
      <c r="L16" s="330"/>
      <c r="M16" s="325"/>
      <c r="N16" s="321"/>
    </row>
    <row r="17" ht="18.75" customHeight="1">
      <c r="A17" s="315"/>
      <c r="B17" s="315"/>
      <c r="C17" s="315"/>
      <c r="D17" s="87" t="s">
        <v>47</v>
      </c>
      <c r="E17" s="331" t="s">
        <v>175</v>
      </c>
      <c r="F17" s="333"/>
      <c r="G17" s="334" t="s">
        <v>176</v>
      </c>
      <c r="H17" s="217"/>
      <c r="I17" s="217"/>
      <c r="J17" s="311"/>
      <c r="K17" s="329">
        <v>500.0</v>
      </c>
      <c r="L17" s="330"/>
      <c r="M17" s="325"/>
      <c r="N17" s="321"/>
    </row>
    <row r="18" ht="18.75" customHeight="1">
      <c r="A18" s="315"/>
      <c r="B18" s="315"/>
      <c r="C18" s="315"/>
      <c r="D18" s="87" t="s">
        <v>47</v>
      </c>
      <c r="E18" s="331" t="str">
        <f>'OFERTA - DANE'!B16</f>
        <v>Spotkanie</v>
      </c>
      <c r="F18" s="332" t="str">
        <f>'OFERTA - DANE'!C16</f>
        <v>Omówienie wariantów rzutów funkcjonalnych.</v>
      </c>
      <c r="G18" s="217"/>
      <c r="H18" s="217"/>
      <c r="I18" s="217"/>
      <c r="J18" s="311"/>
      <c r="K18" s="329">
        <v>100.0</v>
      </c>
      <c r="L18" s="316"/>
      <c r="M18" s="325"/>
      <c r="N18" s="321"/>
    </row>
    <row r="19" ht="18.75" customHeight="1">
      <c r="A19" s="315"/>
      <c r="B19" s="315"/>
      <c r="C19" s="315"/>
      <c r="D19" s="87" t="s">
        <v>47</v>
      </c>
      <c r="E19" s="331" t="str">
        <f>'OFERTA - DANE'!B17</f>
        <v>Finalny rzut funkcjonalny</v>
      </c>
      <c r="F19" s="332" t="str">
        <f>'OFERTA - DANE'!C17</f>
        <v>Rysunek ostatecznej wersja układu funkcjonalnego.</v>
      </c>
      <c r="G19" s="217"/>
      <c r="H19" s="217"/>
      <c r="I19" s="217"/>
      <c r="J19" s="311"/>
      <c r="K19" s="335">
        <v>150.0</v>
      </c>
      <c r="L19" s="330"/>
      <c r="M19" s="325"/>
      <c r="N19" s="321"/>
    </row>
    <row r="20" ht="15.0" customHeight="1">
      <c r="A20" s="336"/>
      <c r="B20" s="336"/>
      <c r="C20" s="316"/>
      <c r="D20" s="337" t="str">
        <f>'OFERTA - DANE'!B18</f>
        <v>ETAP WIZUALNY</v>
      </c>
      <c r="E20" s="338"/>
      <c r="F20" s="338"/>
      <c r="G20" s="338"/>
      <c r="H20" s="338"/>
      <c r="I20" s="338"/>
      <c r="J20" s="338"/>
      <c r="K20" s="339"/>
      <c r="L20" s="340"/>
      <c r="M20" s="325"/>
      <c r="N20" s="321"/>
    </row>
    <row r="21" ht="15.0" customHeight="1">
      <c r="A21" s="341" t="s">
        <v>47</v>
      </c>
      <c r="C21" s="315"/>
      <c r="D21" s="342"/>
      <c r="E21" s="343"/>
      <c r="F21" s="344"/>
      <c r="G21" s="344" t="s">
        <v>177</v>
      </c>
      <c r="H21" s="345"/>
      <c r="I21" s="346" t="s">
        <v>49</v>
      </c>
      <c r="J21" s="347">
        <v>1.0</v>
      </c>
      <c r="K21" s="348"/>
      <c r="L21" s="349"/>
      <c r="M21" s="282" t="s">
        <v>47</v>
      </c>
    </row>
    <row r="22" ht="15.0" customHeight="1">
      <c r="A22" s="350"/>
      <c r="B22" s="349"/>
      <c r="C22" s="351"/>
      <c r="D22" s="352" t="s">
        <v>47</v>
      </c>
      <c r="E22" s="353" t="s">
        <v>178</v>
      </c>
      <c r="F22" s="354" t="s">
        <v>179</v>
      </c>
      <c r="G22" s="217"/>
      <c r="H22" s="217"/>
      <c r="I22" s="217"/>
      <c r="J22" s="311"/>
      <c r="K22" s="355">
        <f>IF(D22="TAK",'OFERTA - DANE'!E19+'OFERTA - DANE'!F19,0) *J21 *IF('OFERTA - DANE'!C53="TAK",'OFERTA - DANE'!C48/60,1)</f>
        <v>200</v>
      </c>
      <c r="L22" s="349"/>
      <c r="M22" s="350"/>
      <c r="N22" s="349"/>
    </row>
    <row r="23" ht="17.25" customHeight="1">
      <c r="A23" s="350"/>
      <c r="B23" s="349"/>
      <c r="C23" s="315"/>
      <c r="D23" s="356" t="s">
        <v>47</v>
      </c>
      <c r="E23" s="353" t="s">
        <v>180</v>
      </c>
      <c r="F23" s="332" t="s">
        <v>181</v>
      </c>
      <c r="G23" s="217"/>
      <c r="H23" s="217"/>
      <c r="I23" s="217"/>
      <c r="J23" s="311"/>
      <c r="K23" s="357">
        <v>150.0</v>
      </c>
      <c r="L23" s="358"/>
      <c r="M23" s="350"/>
      <c r="N23" s="349"/>
    </row>
    <row r="24" ht="41.25" customHeight="1">
      <c r="A24" s="350"/>
      <c r="B24" s="349"/>
      <c r="C24" s="315"/>
      <c r="D24" s="352" t="s">
        <v>47</v>
      </c>
      <c r="E24" s="353" t="s">
        <v>182</v>
      </c>
      <c r="F24" s="332" t="s">
        <v>183</v>
      </c>
      <c r="G24" s="217"/>
      <c r="H24" s="217"/>
      <c r="I24" s="217"/>
      <c r="J24" s="311"/>
      <c r="K24" s="357">
        <v>150.0</v>
      </c>
      <c r="L24" s="358"/>
      <c r="M24" s="350"/>
      <c r="N24" s="349"/>
    </row>
    <row r="25" ht="26.25" customHeight="1">
      <c r="A25" s="350"/>
      <c r="B25" s="349"/>
      <c r="C25" s="315"/>
      <c r="D25" s="352" t="s">
        <v>47</v>
      </c>
      <c r="E25" s="353" t="s">
        <v>184</v>
      </c>
      <c r="F25" s="332" t="s">
        <v>185</v>
      </c>
      <c r="G25" s="217"/>
      <c r="H25" s="217"/>
      <c r="I25" s="217"/>
      <c r="J25" s="311"/>
      <c r="K25" s="357">
        <v>400.0</v>
      </c>
      <c r="L25" s="358"/>
      <c r="M25" s="350"/>
      <c r="N25" s="349"/>
    </row>
    <row r="26" ht="15.0" customHeight="1">
      <c r="A26" s="350"/>
      <c r="B26" s="349"/>
      <c r="C26" s="315"/>
      <c r="D26" s="359" t="s">
        <v>47</v>
      </c>
      <c r="E26" s="353" t="str">
        <f>'OFERTA - DANE'!B20</f>
        <v>Wizualizacja 3D</v>
      </c>
      <c r="F26" s="332"/>
      <c r="G26" s="334" t="s">
        <v>186</v>
      </c>
      <c r="H26" s="217"/>
      <c r="I26" s="217"/>
      <c r="J26" s="311"/>
      <c r="K26" s="357">
        <f> IF(D26="TAK",IF(E26='OFERTA - DANE'!B20,'OFERTA - DANE'!F20 + 'OFERTA - DANE'!E20*F26,'OFERTA - DANE'!F22 + 'OFERTA - DANE'!E22*F26),0)  *J21*IF('OFERTA - DANE'!C53="TAK",'OFERTA - DANE'!C48/60,1)</f>
        <v>350</v>
      </c>
      <c r="L26" s="358"/>
      <c r="M26" s="350"/>
      <c r="N26" s="349"/>
    </row>
    <row r="27" ht="38.25" customHeight="1">
      <c r="A27" s="349"/>
      <c r="B27" s="349"/>
      <c r="C27" s="315"/>
      <c r="D27" s="359" t="s">
        <v>47</v>
      </c>
      <c r="E27" s="331" t="s">
        <v>187</v>
      </c>
      <c r="F27" s="332" t="s">
        <v>188</v>
      </c>
      <c r="G27" s="217"/>
      <c r="H27" s="217"/>
      <c r="I27" s="217"/>
      <c r="J27" s="311"/>
      <c r="K27" s="360">
        <v>300.0</v>
      </c>
      <c r="L27" s="358"/>
      <c r="M27" s="349"/>
      <c r="N27" s="349"/>
    </row>
    <row r="28" ht="15.0" customHeight="1">
      <c r="A28" s="341" t="s">
        <v>47</v>
      </c>
      <c r="C28" s="315"/>
      <c r="D28" s="342"/>
      <c r="E28" s="343"/>
      <c r="F28" s="361"/>
      <c r="G28" s="344" t="s">
        <v>189</v>
      </c>
      <c r="H28" s="345"/>
      <c r="I28" s="346" t="s">
        <v>49</v>
      </c>
      <c r="J28" s="347">
        <v>1.0</v>
      </c>
      <c r="K28" s="362"/>
      <c r="L28" s="349"/>
      <c r="M28" s="282" t="s">
        <v>47</v>
      </c>
    </row>
    <row r="29" ht="15.0" customHeight="1">
      <c r="A29" s="350"/>
      <c r="B29" s="349"/>
      <c r="C29" s="351"/>
      <c r="D29" s="352" t="s">
        <v>47</v>
      </c>
      <c r="E29" s="331" t="s">
        <v>178</v>
      </c>
      <c r="F29" s="332" t="s">
        <v>179</v>
      </c>
      <c r="G29" s="217"/>
      <c r="H29" s="217"/>
      <c r="I29" s="217"/>
      <c r="J29" s="311"/>
      <c r="K29" s="363">
        <v>400.0</v>
      </c>
      <c r="L29" s="349"/>
      <c r="M29" s="350"/>
      <c r="N29" s="349"/>
    </row>
    <row r="30" ht="16.5" customHeight="1">
      <c r="A30" s="350"/>
      <c r="B30" s="349"/>
      <c r="C30" s="315"/>
      <c r="D30" s="352" t="s">
        <v>47</v>
      </c>
      <c r="E30" s="332" t="s">
        <v>180</v>
      </c>
      <c r="F30" s="332" t="s">
        <v>181</v>
      </c>
      <c r="G30" s="217"/>
      <c r="H30" s="217"/>
      <c r="I30" s="217"/>
      <c r="J30" s="311"/>
      <c r="K30" s="364">
        <v>250.0</v>
      </c>
      <c r="L30" s="358"/>
      <c r="M30" s="350"/>
      <c r="N30" s="349"/>
    </row>
    <row r="31" ht="39.0" customHeight="1">
      <c r="A31" s="350"/>
      <c r="B31" s="349"/>
      <c r="C31" s="315"/>
      <c r="D31" s="352" t="s">
        <v>47</v>
      </c>
      <c r="E31" s="332" t="s">
        <v>182</v>
      </c>
      <c r="F31" s="332" t="s">
        <v>183</v>
      </c>
      <c r="G31" s="217"/>
      <c r="H31" s="217"/>
      <c r="I31" s="217"/>
      <c r="J31" s="311"/>
      <c r="K31" s="355">
        <v>100.0</v>
      </c>
      <c r="L31" s="358"/>
      <c r="M31" s="350"/>
      <c r="N31" s="349"/>
    </row>
    <row r="32" ht="29.25" customHeight="1">
      <c r="A32" s="350"/>
      <c r="B32" s="349"/>
      <c r="C32" s="315"/>
      <c r="D32" s="352" t="s">
        <v>47</v>
      </c>
      <c r="E32" s="332" t="s">
        <v>184</v>
      </c>
      <c r="F32" s="332" t="s">
        <v>185</v>
      </c>
      <c r="G32" s="217"/>
      <c r="H32" s="217"/>
      <c r="I32" s="217"/>
      <c r="J32" s="311"/>
      <c r="K32" s="364">
        <v>600.0</v>
      </c>
      <c r="L32" s="358"/>
      <c r="M32" s="350"/>
      <c r="N32" s="349"/>
    </row>
    <row r="33" ht="15.0" customHeight="1">
      <c r="A33" s="350"/>
      <c r="B33" s="349"/>
      <c r="C33" s="315"/>
      <c r="D33" s="359" t="s">
        <v>47</v>
      </c>
      <c r="E33" s="332" t="s">
        <v>190</v>
      </c>
      <c r="F33" s="332"/>
      <c r="G33" s="334" t="s">
        <v>186</v>
      </c>
      <c r="H33" s="217"/>
      <c r="I33" s="217"/>
      <c r="J33" s="311"/>
      <c r="K33" s="357">
        <v>450.0</v>
      </c>
      <c r="L33" s="358"/>
      <c r="M33" s="350"/>
      <c r="N33" s="349"/>
    </row>
    <row r="34" ht="42.75" customHeight="1">
      <c r="A34" s="349"/>
      <c r="B34" s="349"/>
      <c r="C34" s="315"/>
      <c r="D34" s="359" t="s">
        <v>47</v>
      </c>
      <c r="E34" s="331" t="s">
        <v>187</v>
      </c>
      <c r="F34" s="334" t="s">
        <v>188</v>
      </c>
      <c r="G34" s="217"/>
      <c r="H34" s="217"/>
      <c r="I34" s="217"/>
      <c r="J34" s="311"/>
      <c r="K34" s="355">
        <v>400.0</v>
      </c>
      <c r="L34" s="358"/>
      <c r="M34" s="349"/>
      <c r="N34" s="349"/>
    </row>
    <row r="35" ht="15.0" customHeight="1">
      <c r="A35" s="341" t="s">
        <v>47</v>
      </c>
      <c r="C35" s="315"/>
      <c r="D35" s="342"/>
      <c r="E35" s="343"/>
      <c r="F35" s="344"/>
      <c r="G35" s="344" t="str">
        <f>'OFERTA - DANE'!H6</f>
        <v>kuchnia</v>
      </c>
      <c r="H35" s="345"/>
      <c r="I35" s="346" t="s">
        <v>49</v>
      </c>
      <c r="J35" s="347">
        <v>1.0</v>
      </c>
      <c r="K35" s="362"/>
      <c r="L35" s="349"/>
      <c r="M35" s="282" t="s">
        <v>47</v>
      </c>
    </row>
    <row r="36" ht="18.0" customHeight="1">
      <c r="A36" s="350"/>
      <c r="B36" s="349"/>
      <c r="C36" s="351"/>
      <c r="D36" s="352" t="s">
        <v>47</v>
      </c>
      <c r="E36" s="331" t="s">
        <v>178</v>
      </c>
      <c r="F36" s="332" t="s">
        <v>179</v>
      </c>
      <c r="G36" s="217"/>
      <c r="H36" s="217"/>
      <c r="I36" s="217"/>
      <c r="J36" s="311"/>
      <c r="K36" s="363">
        <f>IF(D36="TAK",'OFERTA - DANE'!E19+'OFERTA - DANE'!H19,0) *J35*IF('OFERTA - DANE'!C53="TAK",'OFERTA - DANE'!C48/60,1)</f>
        <v>200</v>
      </c>
      <c r="L36" s="349"/>
      <c r="M36" s="350"/>
      <c r="N36" s="349"/>
    </row>
    <row r="37" ht="16.5" customHeight="1">
      <c r="A37" s="350"/>
      <c r="B37" s="349"/>
      <c r="C37" s="315"/>
      <c r="D37" s="352" t="s">
        <v>47</v>
      </c>
      <c r="E37" s="332" t="s">
        <v>180</v>
      </c>
      <c r="F37" s="332" t="s">
        <v>181</v>
      </c>
      <c r="G37" s="217"/>
      <c r="H37" s="217"/>
      <c r="I37" s="217"/>
      <c r="J37" s="311"/>
      <c r="K37" s="355">
        <v>200.0</v>
      </c>
      <c r="L37" s="358"/>
      <c r="M37" s="350"/>
      <c r="N37" s="349"/>
    </row>
    <row r="38" ht="41.25" customHeight="1">
      <c r="A38" s="350"/>
      <c r="B38" s="349"/>
      <c r="C38" s="315"/>
      <c r="D38" s="352" t="s">
        <v>47</v>
      </c>
      <c r="E38" s="332" t="s">
        <v>182</v>
      </c>
      <c r="F38" s="332" t="s">
        <v>183</v>
      </c>
      <c r="G38" s="217"/>
      <c r="H38" s="217"/>
      <c r="I38" s="217"/>
      <c r="J38" s="311"/>
      <c r="K38" s="355">
        <v>100.0</v>
      </c>
      <c r="L38" s="358"/>
      <c r="M38" s="350"/>
      <c r="N38" s="349"/>
    </row>
    <row r="39" ht="33.75" customHeight="1">
      <c r="A39" s="350"/>
      <c r="B39" s="349"/>
      <c r="C39" s="315"/>
      <c r="D39" s="352" t="s">
        <v>47</v>
      </c>
      <c r="E39" s="332" t="s">
        <v>184</v>
      </c>
      <c r="F39" s="332" t="s">
        <v>185</v>
      </c>
      <c r="G39" s="217"/>
      <c r="H39" s="217"/>
      <c r="I39" s="217"/>
      <c r="J39" s="311"/>
      <c r="K39" s="355">
        <v>700.0</v>
      </c>
      <c r="L39" s="358"/>
      <c r="M39" s="350"/>
      <c r="N39" s="349"/>
    </row>
    <row r="40" ht="17.25" customHeight="1">
      <c r="A40" s="350"/>
      <c r="B40" s="349"/>
      <c r="C40" s="315"/>
      <c r="D40" s="359" t="s">
        <v>47</v>
      </c>
      <c r="E40" s="332" t="s">
        <v>191</v>
      </c>
      <c r="F40" s="332"/>
      <c r="G40" s="334" t="s">
        <v>186</v>
      </c>
      <c r="H40" s="217"/>
      <c r="I40" s="217"/>
      <c r="J40" s="311"/>
      <c r="K40" s="357">
        <v>500.0</v>
      </c>
      <c r="L40" s="358"/>
      <c r="M40" s="350"/>
      <c r="N40" s="349"/>
    </row>
    <row r="41" ht="42.75" customHeight="1">
      <c r="A41" s="349"/>
      <c r="B41" s="349"/>
      <c r="C41" s="315"/>
      <c r="D41" s="359" t="s">
        <v>47</v>
      </c>
      <c r="E41" s="331" t="s">
        <v>187</v>
      </c>
      <c r="F41" s="332" t="s">
        <v>188</v>
      </c>
      <c r="G41" s="217"/>
      <c r="H41" s="217"/>
      <c r="I41" s="217"/>
      <c r="J41" s="311"/>
      <c r="K41" s="360">
        <v>400.0</v>
      </c>
      <c r="L41" s="358"/>
      <c r="M41" s="349"/>
      <c r="N41" s="349"/>
    </row>
    <row r="42" ht="15.0" customHeight="1">
      <c r="A42" s="341" t="s">
        <v>47</v>
      </c>
      <c r="C42" s="315"/>
      <c r="D42" s="342"/>
      <c r="E42" s="343"/>
      <c r="F42" s="344"/>
      <c r="G42" s="344" t="s">
        <v>192</v>
      </c>
      <c r="H42" s="345"/>
      <c r="I42" s="346" t="s">
        <v>49</v>
      </c>
      <c r="J42" s="347">
        <v>1.0</v>
      </c>
      <c r="K42" s="362"/>
      <c r="L42" s="349"/>
      <c r="M42" s="282" t="s">
        <v>47</v>
      </c>
    </row>
    <row r="43" ht="15.0" customHeight="1">
      <c r="A43" s="350"/>
      <c r="B43" s="349"/>
      <c r="C43" s="351"/>
      <c r="D43" s="352" t="s">
        <v>47</v>
      </c>
      <c r="E43" s="331" t="s">
        <v>178</v>
      </c>
      <c r="F43" s="332" t="s">
        <v>179</v>
      </c>
      <c r="G43" s="217"/>
      <c r="H43" s="217"/>
      <c r="I43" s="217"/>
      <c r="J43" s="311"/>
      <c r="K43" s="363">
        <f>IF(D43="TAK",'OFERTA - DANE'!E19+'OFERTA - DANE'!I19,0) *J42*IF('OFERTA - DANE'!C53="TAK",'OFERTA - DANE'!C48/60,1)</f>
        <v>200</v>
      </c>
      <c r="L43" s="349"/>
      <c r="M43" s="350"/>
      <c r="N43" s="349"/>
    </row>
    <row r="44" ht="15.0" customHeight="1">
      <c r="A44" s="350"/>
      <c r="B44" s="349"/>
      <c r="C44" s="315"/>
      <c r="D44" s="352" t="s">
        <v>47</v>
      </c>
      <c r="E44" s="332" t="s">
        <v>180</v>
      </c>
      <c r="F44" s="332" t="s">
        <v>181</v>
      </c>
      <c r="G44" s="217"/>
      <c r="H44" s="217"/>
      <c r="I44" s="217"/>
      <c r="J44" s="311"/>
      <c r="K44" s="355">
        <v>300.0</v>
      </c>
      <c r="L44" s="358"/>
      <c r="M44" s="350"/>
      <c r="N44" s="349"/>
    </row>
    <row r="45" ht="42.75" customHeight="1">
      <c r="A45" s="350"/>
      <c r="B45" s="349"/>
      <c r="C45" s="315"/>
      <c r="D45" s="352" t="s">
        <v>47</v>
      </c>
      <c r="E45" s="332" t="s">
        <v>182</v>
      </c>
      <c r="F45" s="332" t="s">
        <v>183</v>
      </c>
      <c r="G45" s="217"/>
      <c r="H45" s="217"/>
      <c r="I45" s="217"/>
      <c r="J45" s="311"/>
      <c r="K45" s="355">
        <v>150.0</v>
      </c>
      <c r="L45" s="358"/>
      <c r="M45" s="350"/>
      <c r="N45" s="349"/>
    </row>
    <row r="46" ht="30.75" customHeight="1">
      <c r="A46" s="350"/>
      <c r="B46" s="349"/>
      <c r="C46" s="315"/>
      <c r="D46" s="352" t="s">
        <v>47</v>
      </c>
      <c r="E46" s="332" t="s">
        <v>184</v>
      </c>
      <c r="F46" s="332" t="s">
        <v>185</v>
      </c>
      <c r="G46" s="217"/>
      <c r="H46" s="217"/>
      <c r="I46" s="217"/>
      <c r="J46" s="311"/>
      <c r="K46" s="355">
        <v>600.0</v>
      </c>
      <c r="L46" s="358"/>
      <c r="M46" s="350"/>
      <c r="N46" s="349"/>
    </row>
    <row r="47" ht="15.0" customHeight="1">
      <c r="A47" s="350"/>
      <c r="B47" s="349"/>
      <c r="C47" s="315"/>
      <c r="D47" s="352" t="s">
        <v>47</v>
      </c>
      <c r="E47" s="332" t="s">
        <v>191</v>
      </c>
      <c r="F47" s="332" t="s">
        <v>186</v>
      </c>
      <c r="G47" s="217"/>
      <c r="H47" s="217"/>
      <c r="I47" s="217"/>
      <c r="J47" s="311"/>
      <c r="K47" s="355">
        <v>400.0</v>
      </c>
      <c r="L47" s="358"/>
      <c r="M47" s="350"/>
      <c r="N47" s="349"/>
    </row>
    <row r="48" ht="40.5" customHeight="1">
      <c r="A48" s="350"/>
      <c r="B48" s="349"/>
      <c r="C48" s="315"/>
      <c r="D48" s="352" t="s">
        <v>47</v>
      </c>
      <c r="E48" s="332" t="s">
        <v>187</v>
      </c>
      <c r="F48" s="334" t="s">
        <v>188</v>
      </c>
      <c r="G48" s="217"/>
      <c r="H48" s="217"/>
      <c r="I48" s="217"/>
      <c r="J48" s="311"/>
      <c r="K48" s="357">
        <v>400.0</v>
      </c>
      <c r="L48" s="358"/>
      <c r="M48" s="350"/>
      <c r="N48" s="349"/>
    </row>
    <row r="49" ht="15.0" customHeight="1">
      <c r="A49" s="341" t="s">
        <v>47</v>
      </c>
      <c r="C49" s="315"/>
      <c r="D49" s="342"/>
      <c r="E49" s="343"/>
      <c r="F49" s="344"/>
      <c r="G49" s="344" t="str">
        <f>'OFERTA - DANE'!J6</f>
        <v>salon</v>
      </c>
      <c r="H49" s="345"/>
      <c r="I49" s="346" t="s">
        <v>49</v>
      </c>
      <c r="J49" s="347">
        <v>1.0</v>
      </c>
      <c r="K49" s="362"/>
      <c r="L49" s="349"/>
      <c r="M49" s="282" t="s">
        <v>48</v>
      </c>
    </row>
    <row r="50" ht="15.0" customHeight="1">
      <c r="A50" s="350"/>
      <c r="B50" s="349"/>
      <c r="C50" s="351"/>
      <c r="D50" s="352" t="s">
        <v>48</v>
      </c>
      <c r="E50" s="365" t="s">
        <v>178</v>
      </c>
      <c r="F50" s="332" t="str">
        <f>'OFERTA - DANE'!C19</f>
        <v>Plansza z zestawieniem materiałowo-produktowym.</v>
      </c>
      <c r="G50" s="217"/>
      <c r="H50" s="217"/>
      <c r="I50" s="217"/>
      <c r="J50" s="311"/>
      <c r="K50" s="363">
        <v>0.0</v>
      </c>
      <c r="L50" s="349"/>
      <c r="M50" s="350"/>
      <c r="N50" s="349"/>
    </row>
    <row r="51" ht="15.0" customHeight="1">
      <c r="A51" s="350"/>
      <c r="B51" s="349"/>
      <c r="C51" s="315"/>
      <c r="D51" s="359" t="s">
        <v>48</v>
      </c>
      <c r="E51" s="332" t="s">
        <v>187</v>
      </c>
      <c r="F51" s="332">
        <v>1.0</v>
      </c>
      <c r="G51" s="334" t="str">
        <f>IF(E51='OFERTA - DANE'!B20, IF(F51=1,'OFERTA - DANE'!C20,'OFERTA - DANE'!C21),IF(F51=1,'OFERTA - DANE'!C22,'OFERTA - DANE'!C23))</f>
        <v>panoramiczna wizualizacja.</v>
      </c>
      <c r="H51" s="217"/>
      <c r="I51" s="217"/>
      <c r="J51" s="311"/>
      <c r="K51" s="357">
        <v>0.0</v>
      </c>
      <c r="L51" s="358"/>
      <c r="M51" s="350"/>
      <c r="N51" s="349"/>
    </row>
    <row r="53" ht="15.0" customHeight="1">
      <c r="A53" s="341" t="s">
        <v>48</v>
      </c>
      <c r="C53" s="315"/>
      <c r="D53" s="342"/>
      <c r="E53" s="343"/>
      <c r="F53" s="344"/>
      <c r="G53" s="344" t="str">
        <f>'OFERTA - DANE'!K6</f>
        <v>toaleta</v>
      </c>
      <c r="H53" s="345"/>
      <c r="I53" s="346" t="s">
        <v>49</v>
      </c>
      <c r="J53" s="347">
        <v>1.0</v>
      </c>
      <c r="K53" s="362"/>
      <c r="L53" s="349"/>
      <c r="M53" s="282" t="s">
        <v>48</v>
      </c>
    </row>
    <row r="54" ht="15.0" customHeight="1">
      <c r="A54" s="350"/>
      <c r="B54" s="349"/>
      <c r="C54" s="351"/>
      <c r="D54" s="352" t="s">
        <v>48</v>
      </c>
      <c r="E54" s="331" t="str">
        <f>'OFERTA - DANE'!B19</f>
        <v>Interaktywny Moodboard</v>
      </c>
      <c r="F54" s="332" t="str">
        <f>'OFERTA - DANE'!C19</f>
        <v>Plansza z zestawieniem materiałowo-produktowym.</v>
      </c>
      <c r="G54" s="217"/>
      <c r="H54" s="217"/>
      <c r="I54" s="217"/>
      <c r="J54" s="311"/>
      <c r="K54" s="363">
        <f>IF(D54="TAK",'OFERTA - DANE'!E19+'OFERTA - DANE'!K19,0) *J53*IF('OFERTA - DANE'!C53="TAK",'OFERTA - DANE'!C48/60,1)</f>
        <v>0</v>
      </c>
      <c r="L54" s="349"/>
      <c r="M54" s="350"/>
      <c r="N54" s="349"/>
    </row>
    <row r="55" ht="15.0" customHeight="1">
      <c r="A55" s="350"/>
      <c r="B55" s="349"/>
      <c r="C55" s="315"/>
      <c r="D55" s="359" t="s">
        <v>48</v>
      </c>
      <c r="E55" s="332" t="s">
        <v>103</v>
      </c>
      <c r="F55" s="332">
        <v>1.0</v>
      </c>
      <c r="G55" s="334" t="str">
        <f>IF(E55='OFERTA - DANE'!B20, IF(F55=1,'OFERTA - DANE'!C20,'OFERTA - DANE'!C21),IF(F55=1,'OFERTA - DANE'!C22,'OFERTA - DANE'!C23))</f>
        <v>kadr fotorealistycznych wizualizacji.</v>
      </c>
      <c r="H55" s="217"/>
      <c r="I55" s="217"/>
      <c r="J55" s="311"/>
      <c r="K55" s="357">
        <f> IF(D55="TAK",IF(E55='OFERTA - DANE'!B20 ,'OFERTA - DANE'!K20 + 'OFERTA - DANE'!E20 *F55,'OFERTA - DANE'!K22 + 'OFERTA - DANE'!E22 *F55),0) *J53 *IF('OFERTA - DANE'!C53="TAK",'OFERTA - DANE'!C48/60,1)</f>
        <v>0</v>
      </c>
      <c r="L55" s="358"/>
      <c r="M55" s="350"/>
      <c r="N55" s="349"/>
    </row>
    <row r="56" ht="15.0" customHeight="1">
      <c r="A56" s="341" t="s">
        <v>48</v>
      </c>
      <c r="C56" s="315"/>
      <c r="D56" s="342"/>
      <c r="E56" s="343"/>
      <c r="F56" s="344"/>
      <c r="G56" s="344" t="str">
        <f>'OFERTA - DANE'!L6</f>
        <v>łazienka</v>
      </c>
      <c r="H56" s="345"/>
      <c r="I56" s="346" t="s">
        <v>49</v>
      </c>
      <c r="J56" s="347">
        <v>1.0</v>
      </c>
      <c r="K56" s="362"/>
      <c r="L56" s="349"/>
      <c r="M56" s="282" t="s">
        <v>48</v>
      </c>
    </row>
    <row r="57" ht="15.0" customHeight="1">
      <c r="A57" s="350"/>
      <c r="B57" s="349"/>
      <c r="C57" s="351"/>
      <c r="D57" s="352" t="s">
        <v>48</v>
      </c>
      <c r="E57" s="331" t="str">
        <f>'OFERTA - DANE'!B19</f>
        <v>Interaktywny Moodboard</v>
      </c>
      <c r="F57" s="332" t="str">
        <f>'OFERTA - DANE'!C19</f>
        <v>Plansza z zestawieniem materiałowo-produktowym.</v>
      </c>
      <c r="G57" s="217"/>
      <c r="H57" s="217"/>
      <c r="I57" s="217"/>
      <c r="J57" s="311"/>
      <c r="K57" s="363">
        <f>IF(D57="TAK",'OFERTA - DANE'!E19+'OFERTA - DANE'!L19,0) *J56*IF('OFERTA - DANE'!C53="TAK",'OFERTA - DANE'!C48/60,1)</f>
        <v>0</v>
      </c>
      <c r="L57" s="349"/>
      <c r="M57" s="350"/>
      <c r="N57" s="349"/>
    </row>
    <row r="58" ht="15.0" customHeight="1">
      <c r="A58" s="350"/>
      <c r="B58" s="349"/>
      <c r="C58" s="315"/>
      <c r="D58" s="359" t="s">
        <v>48</v>
      </c>
      <c r="E58" s="332" t="s">
        <v>103</v>
      </c>
      <c r="F58" s="332">
        <v>1.0</v>
      </c>
      <c r="G58" s="334" t="str">
        <f>IF(E58='OFERTA - DANE'!B20, IF(F58=1,'OFERTA - DANE'!C20,'OFERTA - DANE'!C21),IF(F58=1,'OFERTA - DANE'!C22,'OFERTA - DANE'!C23))</f>
        <v>kadr fotorealistycznych wizualizacji.</v>
      </c>
      <c r="H58" s="217"/>
      <c r="I58" s="217"/>
      <c r="J58" s="311"/>
      <c r="K58" s="357">
        <f> IF(D58="TAK",IF(E58='OFERTA - DANE'!B20 ,'OFERTA - DANE'!L20 + 'OFERTA - DANE'!E20 *F58,'OFERTA - DANE'!L22 + 'OFERTA - DANE'!E22 *F58),0) *J56 *IF('OFERTA - DANE'!C53="TAK",'OFERTA - DANE'!C48/60,1)</f>
        <v>0</v>
      </c>
      <c r="L58" s="358"/>
      <c r="M58" s="350"/>
      <c r="N58" s="349"/>
    </row>
    <row r="59" ht="15.0" customHeight="1">
      <c r="A59" s="341" t="s">
        <v>48</v>
      </c>
      <c r="C59" s="315"/>
      <c r="D59" s="342"/>
      <c r="E59" s="343"/>
      <c r="F59" s="344"/>
      <c r="G59" s="344" t="str">
        <f>'OFERTA - DANE'!M6</f>
        <v>pralnia</v>
      </c>
      <c r="H59" s="345"/>
      <c r="I59" s="346" t="s">
        <v>49</v>
      </c>
      <c r="J59" s="347">
        <v>1.0</v>
      </c>
      <c r="K59" s="362"/>
      <c r="L59" s="349"/>
      <c r="M59" s="282" t="s">
        <v>48</v>
      </c>
    </row>
    <row r="60" ht="15.0" customHeight="1">
      <c r="A60" s="350"/>
      <c r="B60" s="349"/>
      <c r="C60" s="351"/>
      <c r="D60" s="352" t="s">
        <v>48</v>
      </c>
      <c r="E60" s="331" t="str">
        <f>'OFERTA - DANE'!B19</f>
        <v>Interaktywny Moodboard</v>
      </c>
      <c r="F60" s="332" t="str">
        <f>'OFERTA - DANE'!C19</f>
        <v>Plansza z zestawieniem materiałowo-produktowym.</v>
      </c>
      <c r="G60" s="217"/>
      <c r="H60" s="217"/>
      <c r="I60" s="217"/>
      <c r="J60" s="311"/>
      <c r="K60" s="363">
        <f>IF(D60="TAK",'OFERTA - DANE'!E19+'OFERTA - DANE'!M19,0) *J59*IF('OFERTA - DANE'!C53="TAK",'OFERTA - DANE'!C48/60,1)</f>
        <v>0</v>
      </c>
      <c r="L60" s="349"/>
      <c r="M60" s="350"/>
      <c r="N60" s="349"/>
    </row>
    <row r="61" ht="15.0" customHeight="1">
      <c r="A61" s="350"/>
      <c r="B61" s="349"/>
      <c r="C61" s="315"/>
      <c r="D61" s="359" t="s">
        <v>48</v>
      </c>
      <c r="E61" s="332" t="s">
        <v>103</v>
      </c>
      <c r="F61" s="332">
        <v>1.0</v>
      </c>
      <c r="G61" s="334" t="str">
        <f>IF(E61='OFERTA - DANE'!B20, IF(F61=1,'OFERTA - DANE'!C20,'OFERTA - DANE'!C21),IF(F61=1,'OFERTA - DANE'!C22,'OFERTA - DANE'!C23))</f>
        <v>kadr fotorealistycznych wizualizacji.</v>
      </c>
      <c r="H61" s="217"/>
      <c r="I61" s="217"/>
      <c r="J61" s="311"/>
      <c r="K61" s="357">
        <f> IF(D61="TAK",IF(E61='OFERTA - DANE'!B20 ,'OFERTA - DANE'!M20 + 'OFERTA - DANE'!E20 *F61,'OFERTA - DANE'!M22 + 'OFERTA - DANE'!E22 *F61),0) *J59 *IF('OFERTA - DANE'!C53="TAK",'OFERTA - DANE'!C48/60,1)</f>
        <v>0</v>
      </c>
      <c r="L61" s="358"/>
      <c r="M61" s="350"/>
      <c r="N61" s="349"/>
    </row>
    <row r="62" ht="15.0" customHeight="1">
      <c r="A62" s="341" t="s">
        <v>48</v>
      </c>
      <c r="C62" s="315"/>
      <c r="D62" s="342"/>
      <c r="E62" s="343"/>
      <c r="F62" s="344"/>
      <c r="G62" s="344" t="str">
        <f>'OFERTA - DANE'!N6</f>
        <v>sypialnia</v>
      </c>
      <c r="H62" s="345"/>
      <c r="I62" s="346" t="s">
        <v>49</v>
      </c>
      <c r="J62" s="347">
        <v>1.0</v>
      </c>
      <c r="K62" s="362"/>
      <c r="L62" s="349"/>
      <c r="M62" s="282" t="s">
        <v>47</v>
      </c>
    </row>
    <row r="63" ht="15.0" customHeight="1">
      <c r="A63" s="349"/>
      <c r="B63" s="349"/>
      <c r="C63" s="351"/>
      <c r="D63" s="352" t="s">
        <v>47</v>
      </c>
      <c r="E63" s="331" t="s">
        <v>178</v>
      </c>
      <c r="F63" s="332" t="s">
        <v>179</v>
      </c>
      <c r="G63" s="217"/>
      <c r="H63" s="217"/>
      <c r="I63" s="217"/>
      <c r="J63" s="311"/>
      <c r="K63" s="355">
        <v>200.0</v>
      </c>
      <c r="L63" s="349"/>
      <c r="M63" s="349"/>
      <c r="N63" s="349"/>
    </row>
    <row r="64" ht="15.0" customHeight="1">
      <c r="A64" s="349"/>
      <c r="B64" s="349"/>
      <c r="C64" s="351"/>
      <c r="D64" s="352" t="s">
        <v>47</v>
      </c>
      <c r="E64" s="331" t="s">
        <v>180</v>
      </c>
      <c r="F64" s="332" t="s">
        <v>181</v>
      </c>
      <c r="G64" s="217"/>
      <c r="H64" s="217"/>
      <c r="I64" s="217"/>
      <c r="J64" s="311"/>
      <c r="K64" s="355">
        <v>150.0</v>
      </c>
      <c r="L64" s="349"/>
      <c r="M64" s="349"/>
      <c r="N64" s="349"/>
    </row>
    <row r="65" ht="45.0" customHeight="1">
      <c r="A65" s="349"/>
      <c r="B65" s="349"/>
      <c r="C65" s="351"/>
      <c r="D65" s="352" t="s">
        <v>47</v>
      </c>
      <c r="E65" s="331" t="s">
        <v>182</v>
      </c>
      <c r="F65" s="332" t="s">
        <v>183</v>
      </c>
      <c r="G65" s="217"/>
      <c r="H65" s="217"/>
      <c r="I65" s="217"/>
      <c r="J65" s="311"/>
      <c r="K65" s="355">
        <v>200.0</v>
      </c>
      <c r="L65" s="349"/>
      <c r="M65" s="349"/>
      <c r="N65" s="349"/>
    </row>
    <row r="66" ht="30.0" customHeight="1">
      <c r="A66" s="349"/>
      <c r="B66" s="349"/>
      <c r="C66" s="351"/>
      <c r="D66" s="352" t="s">
        <v>47</v>
      </c>
      <c r="E66" s="331" t="s">
        <v>184</v>
      </c>
      <c r="F66" s="332" t="s">
        <v>185</v>
      </c>
      <c r="G66" s="217"/>
      <c r="H66" s="217"/>
      <c r="I66" s="217"/>
      <c r="J66" s="311"/>
      <c r="K66" s="363">
        <v>700.0</v>
      </c>
      <c r="L66" s="349"/>
      <c r="M66" s="349"/>
      <c r="N66" s="349"/>
    </row>
    <row r="67" ht="31.5" customHeight="1">
      <c r="A67" s="350"/>
      <c r="B67" s="349"/>
      <c r="C67" s="351"/>
      <c r="D67" s="352" t="s">
        <v>47</v>
      </c>
      <c r="E67" s="331" t="s">
        <v>103</v>
      </c>
      <c r="F67" s="332" t="s">
        <v>186</v>
      </c>
      <c r="G67" s="217"/>
      <c r="H67" s="217"/>
      <c r="I67" s="217"/>
      <c r="J67" s="311"/>
      <c r="K67" s="363">
        <v>400.0</v>
      </c>
      <c r="L67" s="349"/>
      <c r="M67" s="350"/>
      <c r="N67" s="349"/>
    </row>
    <row r="68" ht="53.25" customHeight="1">
      <c r="A68" s="350"/>
      <c r="B68" s="349"/>
      <c r="C68" s="315"/>
      <c r="D68" s="359" t="s">
        <v>47</v>
      </c>
      <c r="E68" s="332" t="s">
        <v>187</v>
      </c>
      <c r="F68" s="332"/>
      <c r="G68" s="334" t="s">
        <v>188</v>
      </c>
      <c r="H68" s="217"/>
      <c r="I68" s="217"/>
      <c r="J68" s="311"/>
      <c r="K68" s="357">
        <v>400.0</v>
      </c>
      <c r="L68" s="358"/>
      <c r="M68" s="350"/>
      <c r="N68" s="349"/>
    </row>
    <row r="69" ht="15.0" customHeight="1">
      <c r="A69" s="349"/>
      <c r="B69" s="349"/>
      <c r="C69" s="315"/>
      <c r="D69" s="366"/>
      <c r="E69" s="334"/>
      <c r="F69" s="334"/>
      <c r="G69" s="334"/>
      <c r="H69" s="334"/>
      <c r="I69" s="334"/>
      <c r="J69" s="334"/>
      <c r="K69" s="360"/>
      <c r="L69" s="358"/>
      <c r="M69" s="349"/>
      <c r="N69" s="349"/>
    </row>
    <row r="70" ht="15.0" customHeight="1">
      <c r="A70" s="341" t="s">
        <v>48</v>
      </c>
      <c r="C70" s="315"/>
      <c r="D70" s="342"/>
      <c r="E70" s="343"/>
      <c r="F70" s="344"/>
      <c r="G70" s="344" t="str">
        <f>'OFERTA - DANE'!O6</f>
        <v>garderoba</v>
      </c>
      <c r="H70" s="345"/>
      <c r="I70" s="346" t="s">
        <v>49</v>
      </c>
      <c r="J70" s="347">
        <v>1.0</v>
      </c>
      <c r="K70" s="362"/>
      <c r="L70" s="349"/>
      <c r="M70" s="282" t="s">
        <v>48</v>
      </c>
    </row>
    <row r="71" ht="15.0" customHeight="1">
      <c r="A71" s="350"/>
      <c r="B71" s="349"/>
      <c r="C71" s="351"/>
      <c r="D71" s="352" t="s">
        <v>48</v>
      </c>
      <c r="E71" s="331" t="str">
        <f>'OFERTA - DANE'!B19</f>
        <v>Interaktywny Moodboard</v>
      </c>
      <c r="F71" s="332" t="str">
        <f>'OFERTA - DANE'!C19</f>
        <v>Plansza z zestawieniem materiałowo-produktowym.</v>
      </c>
      <c r="G71" s="217"/>
      <c r="H71" s="217"/>
      <c r="I71" s="217"/>
      <c r="J71" s="311"/>
      <c r="K71" s="363">
        <f>IF(D71="TAK",'OFERTA - DANE'!E19+'OFERTA - DANE'!O19,0) *J70*IF('OFERTA - DANE'!C53="TAK",'OFERTA - DANE'!C48/60,1)</f>
        <v>0</v>
      </c>
      <c r="L71" s="349"/>
      <c r="M71" s="350"/>
      <c r="N71" s="349"/>
    </row>
    <row r="72" ht="15.0" customHeight="1">
      <c r="A72" s="350"/>
      <c r="B72" s="349"/>
      <c r="C72" s="315"/>
      <c r="D72" s="359" t="s">
        <v>48</v>
      </c>
      <c r="E72" s="332" t="s">
        <v>103</v>
      </c>
      <c r="F72" s="332">
        <v>1.0</v>
      </c>
      <c r="G72" s="334" t="str">
        <f>IF(E72='OFERTA - DANE'!B20, IF(F72=1,'OFERTA - DANE'!C20,'OFERTA - DANE'!C21),IF(F72=1,'OFERTA - DANE'!C22,'OFERTA - DANE'!C23))</f>
        <v>kadr fotorealistycznych wizualizacji.</v>
      </c>
      <c r="H72" s="217"/>
      <c r="I72" s="217"/>
      <c r="J72" s="311"/>
      <c r="K72" s="357">
        <f> IF(D72="TAK",IF(E72='OFERTA - DANE'!B20 ,'OFERTA - DANE'!O20 + 'OFERTA - DANE'!E20 *F72,'OFERTA - DANE'!O22 + 'OFERTA - DANE'!E22 *F72),0) *J70 *IF('OFERTA - DANE'!C53="TAK",'OFERTA - DANE'!C48/60,1)</f>
        <v>0</v>
      </c>
      <c r="L72" s="358"/>
      <c r="M72" s="350"/>
      <c r="N72" s="349"/>
    </row>
    <row r="73" ht="15.0" customHeight="1">
      <c r="A73" s="341" t="s">
        <v>48</v>
      </c>
      <c r="C73" s="315"/>
      <c r="D73" s="342"/>
      <c r="E73" s="343"/>
      <c r="F73" s="344"/>
      <c r="G73" s="344" t="str">
        <f>'OFERTA - DANE'!P6</f>
        <v>pokój dziecięcy</v>
      </c>
      <c r="H73" s="345"/>
      <c r="I73" s="346" t="s">
        <v>49</v>
      </c>
      <c r="J73" s="347">
        <v>1.0</v>
      </c>
      <c r="K73" s="362"/>
      <c r="L73" s="349"/>
      <c r="M73" s="282" t="s">
        <v>47</v>
      </c>
    </row>
    <row r="74" ht="15.0" customHeight="1">
      <c r="A74" s="350"/>
      <c r="B74" s="349"/>
      <c r="C74" s="351"/>
      <c r="D74" s="352" t="s">
        <v>47</v>
      </c>
      <c r="E74" s="331" t="s">
        <v>178</v>
      </c>
      <c r="F74" s="332" t="s">
        <v>179</v>
      </c>
      <c r="G74" s="217"/>
      <c r="H74" s="217"/>
      <c r="I74" s="217"/>
      <c r="J74" s="311"/>
      <c r="K74" s="363">
        <v>500.0</v>
      </c>
      <c r="L74" s="349"/>
      <c r="M74" s="350"/>
      <c r="N74" s="349"/>
    </row>
    <row r="75" ht="15.0" customHeight="1">
      <c r="A75" s="350"/>
      <c r="B75" s="349"/>
      <c r="C75" s="315"/>
      <c r="D75" s="352" t="s">
        <v>47</v>
      </c>
      <c r="E75" s="332" t="s">
        <v>180</v>
      </c>
      <c r="F75" s="332" t="s">
        <v>181</v>
      </c>
      <c r="G75" s="217"/>
      <c r="H75" s="217"/>
      <c r="I75" s="217"/>
      <c r="J75" s="311"/>
      <c r="K75" s="355">
        <v>300.0</v>
      </c>
      <c r="L75" s="358"/>
      <c r="M75" s="350"/>
      <c r="N75" s="349"/>
    </row>
    <row r="76" ht="41.25" customHeight="1">
      <c r="A76" s="350"/>
      <c r="B76" s="349"/>
      <c r="C76" s="315"/>
      <c r="D76" s="352" t="s">
        <v>47</v>
      </c>
      <c r="E76" s="332" t="s">
        <v>182</v>
      </c>
      <c r="F76" s="332" t="s">
        <v>183</v>
      </c>
      <c r="G76" s="217"/>
      <c r="H76" s="217"/>
      <c r="I76" s="217"/>
      <c r="J76" s="311"/>
      <c r="K76" s="355">
        <v>150.0</v>
      </c>
      <c r="L76" s="358"/>
      <c r="M76" s="350"/>
      <c r="N76" s="349"/>
    </row>
    <row r="77" ht="33.0" customHeight="1">
      <c r="A77" s="350"/>
      <c r="B77" s="349"/>
      <c r="C77" s="315"/>
      <c r="D77" s="352" t="s">
        <v>47</v>
      </c>
      <c r="E77" s="332" t="s">
        <v>184</v>
      </c>
      <c r="F77" s="332" t="s">
        <v>185</v>
      </c>
      <c r="G77" s="217"/>
      <c r="H77" s="217"/>
      <c r="I77" s="217"/>
      <c r="J77" s="311"/>
      <c r="K77" s="355">
        <v>900.0</v>
      </c>
      <c r="L77" s="358"/>
      <c r="M77" s="350"/>
      <c r="N77" s="349"/>
    </row>
    <row r="78" ht="15.0" customHeight="1">
      <c r="A78" s="350"/>
      <c r="B78" s="349"/>
      <c r="C78" s="315"/>
      <c r="D78" s="359" t="s">
        <v>47</v>
      </c>
      <c r="E78" s="332" t="s">
        <v>191</v>
      </c>
      <c r="F78" s="332"/>
      <c r="G78" s="332" t="s">
        <v>186</v>
      </c>
      <c r="H78" s="217"/>
      <c r="I78" s="217"/>
      <c r="J78" s="311"/>
      <c r="K78" s="357">
        <v>400.0</v>
      </c>
      <c r="L78" s="358"/>
      <c r="M78" s="350"/>
      <c r="N78" s="349"/>
    </row>
    <row r="79" ht="45.0" customHeight="1">
      <c r="A79" s="349"/>
      <c r="B79" s="349"/>
      <c r="C79" s="315"/>
      <c r="D79" s="352" t="s">
        <v>47</v>
      </c>
      <c r="E79" s="331" t="s">
        <v>187</v>
      </c>
      <c r="F79" s="334" t="s">
        <v>188</v>
      </c>
      <c r="G79" s="217"/>
      <c r="H79" s="217"/>
      <c r="I79" s="217"/>
      <c r="J79" s="217"/>
      <c r="K79" s="355">
        <v>400.0</v>
      </c>
      <c r="L79" s="358"/>
      <c r="M79" s="349"/>
      <c r="N79" s="349"/>
    </row>
    <row r="80" ht="15.0" customHeight="1">
      <c r="A80" s="341" t="s">
        <v>48</v>
      </c>
      <c r="C80" s="315"/>
      <c r="D80" s="342"/>
      <c r="E80" s="343"/>
      <c r="F80" s="344"/>
      <c r="G80" s="344" t="str">
        <f>'OFERTA - DANE'!Q6</f>
        <v>gabinet</v>
      </c>
      <c r="H80" s="345"/>
      <c r="I80" s="346" t="s">
        <v>49</v>
      </c>
      <c r="J80" s="347">
        <v>1.0</v>
      </c>
      <c r="K80" s="362"/>
      <c r="L80" s="349"/>
      <c r="M80" s="282" t="s">
        <v>47</v>
      </c>
    </row>
    <row r="81" ht="15.0" customHeight="1">
      <c r="A81" s="350"/>
      <c r="B81" s="349"/>
      <c r="C81" s="351"/>
      <c r="D81" s="352" t="s">
        <v>47</v>
      </c>
      <c r="E81" s="331" t="s">
        <v>178</v>
      </c>
      <c r="F81" s="332" t="s">
        <v>179</v>
      </c>
      <c r="G81" s="217"/>
      <c r="H81" s="217"/>
      <c r="I81" s="217"/>
      <c r="J81" s="311"/>
      <c r="K81" s="363">
        <f>IF(D81="TAK",'OFERTA - DANE'!E19+'OFERTA - DANE'!Q19,0) *J80*IF('OFERTA - DANE'!C53="TAK",'OFERTA - DANE'!C48/60,1)</f>
        <v>200</v>
      </c>
      <c r="L81" s="349"/>
      <c r="M81" s="350"/>
      <c r="N81" s="349"/>
    </row>
    <row r="82" ht="15.0" customHeight="1">
      <c r="A82" s="350"/>
      <c r="B82" s="349"/>
      <c r="C82" s="315"/>
      <c r="D82" s="352" t="s">
        <v>47</v>
      </c>
      <c r="E82" s="332" t="s">
        <v>180</v>
      </c>
      <c r="F82" s="332" t="s">
        <v>181</v>
      </c>
      <c r="G82" s="217"/>
      <c r="H82" s="217"/>
      <c r="I82" s="217"/>
      <c r="J82" s="311"/>
      <c r="K82" s="355">
        <v>150.0</v>
      </c>
      <c r="L82" s="358"/>
      <c r="M82" s="350"/>
      <c r="N82" s="349"/>
    </row>
    <row r="83" ht="41.25" customHeight="1">
      <c r="A83" s="350"/>
      <c r="B83" s="349"/>
      <c r="C83" s="315"/>
      <c r="D83" s="352" t="s">
        <v>47</v>
      </c>
      <c r="E83" s="332" t="s">
        <v>182</v>
      </c>
      <c r="F83" s="332" t="s">
        <v>183</v>
      </c>
      <c r="G83" s="217"/>
      <c r="H83" s="217"/>
      <c r="I83" s="217"/>
      <c r="J83" s="311"/>
      <c r="K83" s="355">
        <v>0.0</v>
      </c>
      <c r="L83" s="358"/>
      <c r="M83" s="350"/>
      <c r="N83" s="349"/>
    </row>
    <row r="84" ht="31.5" customHeight="1">
      <c r="A84" s="350"/>
      <c r="B84" s="349"/>
      <c r="C84" s="315"/>
      <c r="D84" s="352" t="s">
        <v>47</v>
      </c>
      <c r="E84" s="332" t="s">
        <v>184</v>
      </c>
      <c r="F84" s="332" t="s">
        <v>185</v>
      </c>
      <c r="G84" s="217"/>
      <c r="H84" s="217"/>
      <c r="I84" s="217"/>
      <c r="J84" s="311"/>
      <c r="K84" s="355">
        <v>400.0</v>
      </c>
      <c r="L84" s="358"/>
      <c r="M84" s="350"/>
      <c r="N84" s="349"/>
    </row>
    <row r="85" ht="15.0" customHeight="1">
      <c r="A85" s="350"/>
      <c r="B85" s="349"/>
      <c r="C85" s="315"/>
      <c r="D85" s="359" t="s">
        <v>47</v>
      </c>
      <c r="E85" s="332" t="s">
        <v>191</v>
      </c>
      <c r="F85" s="331"/>
      <c r="G85" s="332" t="s">
        <v>186</v>
      </c>
      <c r="H85" s="217"/>
      <c r="I85" s="217"/>
      <c r="J85" s="311"/>
      <c r="K85" s="357">
        <v>300.0</v>
      </c>
      <c r="L85" s="358"/>
      <c r="M85" s="350"/>
      <c r="N85" s="349"/>
    </row>
    <row r="86" ht="45.0" customHeight="1">
      <c r="A86" s="349"/>
      <c r="B86" s="349"/>
      <c r="C86" s="315"/>
      <c r="D86" s="352" t="s">
        <v>47</v>
      </c>
      <c r="E86" s="332" t="s">
        <v>187</v>
      </c>
      <c r="F86" s="332" t="s">
        <v>188</v>
      </c>
      <c r="G86" s="217"/>
      <c r="H86" s="217"/>
      <c r="I86" s="217"/>
      <c r="J86" s="311"/>
      <c r="K86" s="355">
        <v>300.0</v>
      </c>
      <c r="L86" s="358"/>
      <c r="M86" s="349"/>
      <c r="N86" s="349"/>
    </row>
    <row r="87" ht="15.0" customHeight="1">
      <c r="A87" s="341" t="s">
        <v>48</v>
      </c>
      <c r="C87" s="315"/>
      <c r="D87" s="342"/>
      <c r="E87" s="343"/>
      <c r="F87" s="344"/>
      <c r="G87" s="344" t="str">
        <f>'OFERTA - DANE'!R6</f>
        <v>spiżarnia/pom. gospodarcze</v>
      </c>
      <c r="H87" s="345"/>
      <c r="I87" s="346" t="s">
        <v>49</v>
      </c>
      <c r="J87" s="347">
        <v>1.0</v>
      </c>
      <c r="K87" s="362"/>
      <c r="L87" s="349"/>
      <c r="M87" s="282" t="s">
        <v>48</v>
      </c>
    </row>
    <row r="88" ht="15.0" customHeight="1">
      <c r="A88" s="350"/>
      <c r="B88" s="349"/>
      <c r="C88" s="351"/>
      <c r="D88" s="352" t="s">
        <v>48</v>
      </c>
      <c r="E88" s="331" t="str">
        <f>'OFERTA - DANE'!B19</f>
        <v>Interaktywny Moodboard</v>
      </c>
      <c r="F88" s="332" t="str">
        <f>'OFERTA - DANE'!C19</f>
        <v>Plansza z zestawieniem materiałowo-produktowym.</v>
      </c>
      <c r="G88" s="217"/>
      <c r="H88" s="217"/>
      <c r="I88" s="217"/>
      <c r="J88" s="311"/>
      <c r="K88" s="363">
        <f>IF(D88="TAK",'OFERTA - DANE'!E19+'OFERTA - DANE'!R19,0) *J87*IF('OFERTA - DANE'!C53="TAK",'OFERTA - DANE'!C48/60,1)</f>
        <v>0</v>
      </c>
      <c r="L88" s="349"/>
      <c r="M88" s="350"/>
      <c r="N88" s="349"/>
    </row>
    <row r="89" ht="15.0" customHeight="1">
      <c r="A89" s="350"/>
      <c r="B89" s="349"/>
      <c r="C89" s="315"/>
      <c r="D89" s="359" t="s">
        <v>48</v>
      </c>
      <c r="E89" s="332" t="s">
        <v>103</v>
      </c>
      <c r="F89" s="332">
        <v>1.0</v>
      </c>
      <c r="G89" s="334" t="str">
        <f>IF(E89='OFERTA - DANE'!B20, IF(F89=1,'OFERTA - DANE'!C20,'OFERTA - DANE'!C21),IF(F89=1,'OFERTA - DANE'!C22,'OFERTA - DANE'!C23))</f>
        <v>kadr fotorealistycznych wizualizacji.</v>
      </c>
      <c r="H89" s="217"/>
      <c r="I89" s="217"/>
      <c r="J89" s="311"/>
      <c r="K89" s="357">
        <f> IF(D89="TAK",IF(E89='OFERTA - DANE'!B20 ,'OFERTA - DANE'!R20 + 'OFERTA - DANE'!E20 *F89,'OFERTA - DANE'!R22 + 'OFERTA - DANE'!E22 *F89),0) *J87 *IF('OFERTA - DANE'!C53="TAK",'OFERTA - DANE'!C48/60,1)</f>
        <v>0</v>
      </c>
      <c r="L89" s="358"/>
      <c r="M89" s="350"/>
      <c r="N89" s="349"/>
    </row>
    <row r="90" ht="15.0" customHeight="1">
      <c r="A90" s="341" t="s">
        <v>48</v>
      </c>
      <c r="C90" s="315"/>
      <c r="D90" s="342"/>
      <c r="E90" s="343"/>
      <c r="F90" s="344"/>
      <c r="G90" s="344" t="str">
        <f>'OFERTA - DANE'!S6</f>
        <v>schody</v>
      </c>
      <c r="H90" s="345"/>
      <c r="I90" s="346" t="s">
        <v>49</v>
      </c>
      <c r="J90" s="347">
        <v>1.0</v>
      </c>
      <c r="K90" s="362"/>
      <c r="L90" s="349"/>
      <c r="M90" s="282" t="s">
        <v>48</v>
      </c>
    </row>
    <row r="91" ht="15.0" customHeight="1">
      <c r="A91" s="367"/>
      <c r="B91" s="336"/>
      <c r="C91" s="351"/>
      <c r="D91" s="352" t="s">
        <v>48</v>
      </c>
      <c r="E91" s="331" t="str">
        <f>'OFERTA - DANE'!B19</f>
        <v>Interaktywny Moodboard</v>
      </c>
      <c r="F91" s="332" t="str">
        <f>'OFERTA - DANE'!C19</f>
        <v>Plansza z zestawieniem materiałowo-produktowym.</v>
      </c>
      <c r="G91" s="217"/>
      <c r="H91" s="217"/>
      <c r="I91" s="217"/>
      <c r="J91" s="311"/>
      <c r="K91" s="363">
        <v>0.0</v>
      </c>
      <c r="L91" s="330"/>
      <c r="M91" s="330"/>
      <c r="N91" s="330"/>
    </row>
    <row r="92" ht="15.0" customHeight="1">
      <c r="A92" s="368"/>
      <c r="B92" s="315"/>
      <c r="C92" s="315"/>
      <c r="D92" s="359" t="s">
        <v>48</v>
      </c>
      <c r="E92" s="332" t="s">
        <v>103</v>
      </c>
      <c r="F92" s="332">
        <v>1.0</v>
      </c>
      <c r="G92" s="334" t="str">
        <f>IF(E92='OFERTA - DANE'!B20, IF(F92=1,'OFERTA - DANE'!C20,'OFERTA - DANE'!C21),IF(F92=1,'OFERTA - DANE'!C22,'OFERTA - DANE'!C23))</f>
        <v>kadr fotorealistycznych wizualizacji.</v>
      </c>
      <c r="H92" s="217"/>
      <c r="I92" s="217"/>
      <c r="J92" s="311"/>
      <c r="K92" s="369">
        <v>0.0</v>
      </c>
      <c r="L92" s="164"/>
      <c r="M92" s="164"/>
      <c r="N92" s="164"/>
    </row>
    <row r="93" ht="15.0" customHeight="1">
      <c r="A93" s="368"/>
      <c r="B93" s="315"/>
      <c r="C93" s="315"/>
      <c r="D93" s="370" t="s">
        <v>47</v>
      </c>
      <c r="E93" s="371" t="str">
        <f>'OFERTA - DANE'!B24</f>
        <v>Spotkanie</v>
      </c>
      <c r="F93" s="372" t="str">
        <f>'OFERTA - DANE'!C24</f>
        <v>Omówienie etapu wizualnego.</v>
      </c>
      <c r="G93" s="373"/>
      <c r="H93" s="373"/>
      <c r="I93" s="373"/>
      <c r="J93" s="374"/>
      <c r="K93" s="375">
        <v>250.0</v>
      </c>
      <c r="L93" s="330"/>
      <c r="M93" s="330"/>
      <c r="N93" s="330"/>
    </row>
    <row r="94" ht="15.0" customHeight="1">
      <c r="A94" s="376"/>
      <c r="B94" s="316"/>
      <c r="C94" s="316"/>
      <c r="D94" s="377" t="str">
        <f>'OFERTA - DANE'!B25</f>
        <v>ETAP TECHNICZNY</v>
      </c>
      <c r="E94" s="378"/>
      <c r="F94" s="378"/>
      <c r="G94" s="378"/>
      <c r="H94" s="378"/>
      <c r="I94" s="378"/>
      <c r="J94" s="378"/>
      <c r="K94" s="379"/>
      <c r="L94" s="316"/>
      <c r="M94" s="316"/>
      <c r="N94" s="316"/>
    </row>
    <row r="95" ht="26.25" customHeight="1">
      <c r="A95" s="368"/>
      <c r="B95" s="315"/>
      <c r="C95" s="315"/>
      <c r="D95" s="359" t="s">
        <v>48</v>
      </c>
      <c r="E95" s="331" t="str">
        <f>'OFERTA - DANE'!B26</f>
        <v>Projekt budowlany</v>
      </c>
      <c r="F95" s="332" t="str">
        <f>'OFERTA - DANE'!C26</f>
        <v>Rysunek techniczny z wytycznymi do rozmieszczenia ścian działowych i zabudów gipsowo-kartonowych.</v>
      </c>
      <c r="G95" s="217"/>
      <c r="H95" s="217"/>
      <c r="I95" s="217"/>
      <c r="J95" s="311"/>
      <c r="K95" s="355">
        <f>IF(D95="TAK",('OFERTA - DANE'!E26 + IF(M21="TAK",'OFERTA - DANE'!F26,0)*J21 + IF(M28="TAK",'OFERTA - DANE'!G26,0)*J28 + IF(M35="TAK",'OFERTA - DANE'!H26,0)*J35 + IF(M42="TAK",'OFERTA - DANE'!I26,0)*J42 + IF(M49="TAK",'OFERTA - DANE'!J26,0)*J49 + IF(M53="TAK",'OFERTA - DANE'!K26,0)*J53 + IF(M56="TAK",'OFERTA - DANE'!L26,0)*J56 + IF(M59="TAK",'OFERTA - DANE'!M26,0)*J59 + IF(M62="TAK",'OFERTA - DANE'!N26,0)*J62 + IF(M70="TAK",'OFERTA - DANE'!O26,0)*J70 + IF(M73="TAK",'OFERTA - DANE'!P26,0)*J73 + IF(M80="TAK",'OFERTA - DANE'!Q26,0)*J80 + IF(M87="TAK",'OFERTA - DANE'!R26,0)*J87 + IF(M90="TAK",'OFERTA - DANE'!S26,0)*J90),0)*IF('OFERTA - DANE'!C53="TAK",'OFERTA - DANE'!C48/60,1)</f>
        <v>0</v>
      </c>
      <c r="L95" s="330"/>
      <c r="M95" s="330"/>
      <c r="N95" s="330"/>
    </row>
    <row r="96" ht="26.25" customHeight="1">
      <c r="A96" s="368"/>
      <c r="B96" s="315"/>
      <c r="C96" s="315"/>
      <c r="D96" s="359" t="s">
        <v>48</v>
      </c>
      <c r="E96" s="331" t="str">
        <f>'OFERTA - DANE'!B27</f>
        <v>Projekt hydrauliki</v>
      </c>
      <c r="F96" s="332" t="str">
        <f>'OFERTA - DANE'!C27</f>
        <v>Rysunek techniczny z wytycznymi do rozmieszczenia punktów hydraulicznych.</v>
      </c>
      <c r="G96" s="217"/>
      <c r="H96" s="217"/>
      <c r="I96" s="217"/>
      <c r="J96" s="311"/>
      <c r="K96" s="355">
        <f>IF(D96="TAK",('OFERTA - DANE'!E27 + IF(M21="TAK",'OFERTA - DANE'!F27,0)*J21+ IF(M28="TAK",'OFERTA - DANE'!G27,0)*J28 + IF(M35="TAK",'OFERTA - DANE'!H27,0)*J35 + IF(M42="TAK",'OFERTA - DANE'!I27,0)*J42 + IF(M49="TAK",'OFERTA - DANE'!J27,0)*J49 + IF(M53="TAK",'OFERTA - DANE'!K27,0)*J53 + IF(M56="TAK",'OFERTA - DANE'!L27,0)*J56 + IF(M59="TAK",'OFERTA - DANE'!M27,0)*J59 + IF(M62="TAK",'OFERTA - DANE'!N27,0)*J62 + IF(M70="TAK",'OFERTA - DANE'!O27,0)*J70 + IF(M73="TAK",'OFERTA - DANE'!P27,0)*J73 + IF(M80="TAK",'OFERTA - DANE'!Q27,0)*J80 + IF(M87="TAK",'OFERTA - DANE'!R27,0)*J87 + IF(M90="TAK",'OFERTA - DANE'!S27,0)*J90),0)*IF('OFERTA - DANE'!C53="TAK",'OFERTA - DANE'!C48/60,1)</f>
        <v>0</v>
      </c>
      <c r="L96" s="330"/>
      <c r="M96" s="330"/>
      <c r="N96" s="330"/>
    </row>
    <row r="97" ht="26.25" customHeight="1">
      <c r="A97" s="368"/>
      <c r="B97" s="315"/>
      <c r="C97" s="315"/>
      <c r="D97" s="359" t="s">
        <v>48</v>
      </c>
      <c r="E97" s="331" t="str">
        <f>'OFERTA - DANE'!B28</f>
        <v>Projekt wentylacji</v>
      </c>
      <c r="F97" s="332" t="str">
        <f>'OFERTA - DANE'!C28</f>
        <v>Rysunek techniczny z wytycznymi do punktów wentylacji i klimatyzacji.</v>
      </c>
      <c r="G97" s="217"/>
      <c r="H97" s="217"/>
      <c r="I97" s="217"/>
      <c r="J97" s="311"/>
      <c r="K97" s="355">
        <f>IF(D97="TAK",('OFERTA - DANE'!E28 + IF(M21="TAK",'OFERTA - DANE'!F28,0)*J21 + IF(M28="TAK",'OFERTA - DANE'!G28,0)*J28 + IF(M35="TAK",'OFERTA - DANE'!H28,0)*J35 + IF(M42="TAK",'OFERTA - DANE'!I28,0)*J42 + IF(M49="TAK",'OFERTA - DANE'!J28,0)*J49 + IF(M53="TAK",'OFERTA - DANE'!K28,0)*J53 + IF(M56="TAK",'OFERTA - DANE'!L28,0)*J56 + IF(M59="TAK",'OFERTA - DANE'!M28,0)*J59 + IF(M62="TAK",'OFERTA - DANE'!N28,0)*J62 + IF(M70="TAK",'OFERTA - DANE'!O28,0)*J70 + IF(M73="TAK",'OFERTA - DANE'!P28,0)*J73 + IF(M80="TAK",'OFERTA - DANE'!Q28,0)*J80 + IF(M87="TAK",'OFERTA - DANE'!R28,0)*J87 + IF(M90="TAK",'OFERTA - DANE'!S28,0)*J90),0)*IF('OFERTA - DANE'!C53="TAK",'OFERTA - DANE'!C48/60,1)</f>
        <v>0</v>
      </c>
      <c r="L97" s="330"/>
      <c r="M97" s="330"/>
      <c r="N97" s="330"/>
    </row>
    <row r="98" ht="26.25" customHeight="1">
      <c r="A98" s="368"/>
      <c r="B98" s="315"/>
      <c r="C98" s="315"/>
      <c r="D98" s="359" t="s">
        <v>48</v>
      </c>
      <c r="E98" s="331" t="str">
        <f>'OFERTA - DANE'!B29</f>
        <v>Projekt ogrzewania</v>
      </c>
      <c r="F98" s="332" t="str">
        <f>'OFERTA - DANE'!C29</f>
        <v>Rysunek techniczny z wytycznymi do rozmieszczenia grzejników i ogrzewania podłogowego. </v>
      </c>
      <c r="G98" s="217"/>
      <c r="H98" s="217"/>
      <c r="I98" s="217"/>
      <c r="J98" s="311"/>
      <c r="K98" s="355">
        <f>IF(D98="TAK",('OFERTA - DANE'!E29 + IF(M21="TAK",'OFERTA - DANE'!F29,0)*J21 + IF(M28="TAK",'OFERTA - DANE'!G29,0)*J28 + IF(M35="TAK",'OFERTA - DANE'!H29,0)*J35 + IF(M42="TAK",'OFERTA - DANE'!I29,0)*J42 + IF(M49="TAK",'OFERTA - DANE'!J29,0)*J49 + IF(M53="TAK",'OFERTA - DANE'!K29,0)*J53 + IF(M56="TAK",'OFERTA - DANE'!L29,0)*J56 + IF(M59="TAK",'OFERTA - DANE'!M29,0)*J59 + IF(M62="TAK",'OFERTA - DANE'!N29,0)*J62 + IF(M70="TAK",'OFERTA - DANE'!O29,0)*J70 + IF(M73="TAK",'OFERTA - DANE'!P29,0)*J73 + IF(M80="TAK",'OFERTA - DANE'!Q29,0)*J80 + IF(M87="TAK",'OFERTA - DANE'!R29,0)*J87 + IF(M90="TAK",'OFERTA - DANE'!S29,0)*J90),0)*IF('OFERTA - DANE'!C53="TAK",'OFERTA - DANE'!C48/60,1)</f>
        <v>0</v>
      </c>
      <c r="L98" s="330"/>
      <c r="M98" s="330"/>
      <c r="N98" s="330"/>
    </row>
    <row r="99" ht="32.25" customHeight="1">
      <c r="A99" s="368"/>
      <c r="B99" s="315"/>
      <c r="C99" s="315"/>
      <c r="D99" s="359" t="s">
        <v>48</v>
      </c>
      <c r="E99" s="331" t="str">
        <f>'OFERTA - DANE'!B30</f>
        <v>Projekt elektryki</v>
      </c>
      <c r="F99" s="332" t="s">
        <v>193</v>
      </c>
      <c r="G99" s="217"/>
      <c r="H99" s="217"/>
      <c r="I99" s="217"/>
      <c r="J99" s="311"/>
      <c r="K99" s="355">
        <v>0.0</v>
      </c>
      <c r="L99" s="330"/>
      <c r="M99" s="330"/>
      <c r="N99" s="330"/>
    </row>
    <row r="100" ht="26.25" customHeight="1">
      <c r="A100" s="368"/>
      <c r="B100" s="315"/>
      <c r="C100" s="315"/>
      <c r="D100" s="359" t="s">
        <v>48</v>
      </c>
      <c r="E100" s="331" t="str">
        <f>'OFERTA - DANE'!B31</f>
        <v>Projekt sufitów podwieszanych</v>
      </c>
      <c r="F100" s="332" t="str">
        <f>'OFERTA - DANE'!C31</f>
        <v>Rysunek techniczny z wytycznymi do rozmieszczenia     sufitów podwieszanych.</v>
      </c>
      <c r="G100" s="217"/>
      <c r="H100" s="217"/>
      <c r="I100" s="217"/>
      <c r="J100" s="311"/>
      <c r="K100" s="355">
        <f>IF(D100="TAK",('OFERTA - DANE'!E31 + IF(M21="TAK",'OFERTA - DANE'!F31,0)*J21 + IF(M28="TAK",'OFERTA - DANE'!G31,0)*J28 + IF(M35="TAK",'OFERTA - DANE'!H31,0)*J35 + IF(M42="TAK",'OFERTA - DANE'!I31,0)*J42 + IF(M49="TAK",'OFERTA - DANE'!J31,0)*J49 + IF(M53="TAK",'OFERTA - DANE'!K31,0)*J53 + IF(M56="TAK",'OFERTA - DANE'!L31,0)*J56 + IF(M59="TAK",'OFERTA - DANE'!M31,0)*J59 + IF(M62="TAK",'OFERTA - DANE'!N31,0)*J62 + IF(M70="TAK",'OFERTA - DANE'!O31,0)*J70 + IF(M73="TAK",'OFERTA - DANE'!P31,0)*J73 + IF(M80="TAK",'OFERTA - DANE'!Q31,0)*J80 + IF(M87="TAK",'OFERTA - DANE'!R31,0)*J87 + IF(M90="TAK",'OFERTA - DANE'!S31,0)*J90),0)*IF('OFERTA - DANE'!C53="TAK",'OFERTA - DANE'!C48/60,1)</f>
        <v>0</v>
      </c>
      <c r="L100" s="330"/>
      <c r="M100" s="330"/>
      <c r="N100" s="330"/>
    </row>
    <row r="101" ht="26.25" customHeight="1">
      <c r="A101" s="368"/>
      <c r="B101" s="315"/>
      <c r="C101" s="315"/>
      <c r="D101" s="359" t="s">
        <v>48</v>
      </c>
      <c r="E101" s="331" t="str">
        <f>'OFERTA - DANE'!B32</f>
        <v>Projekt układu podłóg</v>
      </c>
      <c r="F101" s="332" t="str">
        <f>'OFERTA - DANE'!C32</f>
        <v>Rysunek techniczny z wytycznymi do rozmieszczenia podłóg.</v>
      </c>
      <c r="G101" s="217"/>
      <c r="H101" s="217"/>
      <c r="I101" s="217"/>
      <c r="J101" s="311"/>
      <c r="K101" s="355">
        <f>IF(D101="TAK",('OFERTA - DANE'!E32 + IF(M21="TAK",'OFERTA - DANE'!F32,0)*J21 + IF(M28="TAK",'OFERTA - DANE'!G32,0)*J28 + IF(M35="TAK",'OFERTA - DANE'!H32,0)*J35 + IF(M42="TAK",'OFERTA - DANE'!I32,0)*J42 + IF(M49="TAK",'OFERTA - DANE'!J32,0)*J49 + IF(M53="TAK",'OFERTA - DANE'!K32,0)*J53 + IF(M56="TAK",'OFERTA - DANE'!L32,0)*J56 + IF(M59="TAK",'OFERTA - DANE'!M32,0)*J59 + IF(M62="TAK",'OFERTA - DANE'!N32,0)*J62 + IF(M70="TAK",'OFERTA - DANE'!O32,0)*J70 + IF(M73="TAK",'OFERTA - DANE'!P32,0)*J73 + IF(M80="TAK",'OFERTA - DANE'!Q32,0)*J80 + IF(M87="TAK",'OFERTA - DANE'!R32,0)*J87 + IF(M90="TAK",'OFERTA - DANE'!S32,0)*J90),0)*IF('OFERTA - DANE'!C53="TAK",'OFERTA - DANE'!C48/60,1)</f>
        <v>0</v>
      </c>
      <c r="L101" s="330"/>
      <c r="M101" s="330"/>
      <c r="N101" s="330"/>
    </row>
    <row r="102" ht="22.5" customHeight="1">
      <c r="A102" s="368"/>
      <c r="B102" s="320"/>
      <c r="C102" s="320"/>
      <c r="D102" s="380" t="s">
        <v>48</v>
      </c>
      <c r="E102" s="381" t="str">
        <f>'OFERTA - DANE'!B33</f>
        <v>Projekt szczegółowy</v>
      </c>
      <c r="F102" s="382" t="str">
        <f>LEFT('OFERTA - DANE'!C33&amp; IF(A21="TAK",G21&amp;IF(J21&gt;1," x"&amp;J21,"")&amp;", ","") &amp; IF(A28="TAK",G28&amp;IF(J28&gt;1," x"&amp;J28,"")&amp;", ","") &amp; IF(A35="TAK",G35&amp;IF(J35&gt;1," x"&amp;J35,"")&amp;", ","") &amp; IF(A42="TAK",G42&amp;IF(J42&gt;1," x"&amp;J42,"")&amp;", ","") &amp; IF(A49="TAK",G49&amp;IF(J49&gt;1," x"&amp;J49,"")&amp;", ","") &amp; IF(A53="TAK",G53&amp;IF(J53&gt;1," x"&amp;J53,"")&amp;", ","") &amp; IF(A56="TAK",G56&amp;IF(J56&gt;1," x"&amp;J56,"")&amp;", ","") &amp; IF(A59="TAK",G59&amp;IF(J59&gt;1," x"&amp;J59,"")&amp;", ","") &amp; IF(A62="TAK",G62&amp;IF(J62&gt;1," x"&amp;J62,"")&amp;", ","") &amp; IF(A70="TAK",G70&amp;IF(J70&gt;1," x"&amp;J70,"")&amp;", ","") &amp; IF(A73="TAK",G73&amp;IF(J73&gt;1," x"&amp;J73,"")&amp;", ","") &amp; IF(A80="TAK",G80&amp;IF(J80&gt;1," x"&amp;J80,"")&amp;", ","") &amp; IF(A87="TAK",G87&amp;IF(J87&gt;1," x"&amp;J87,"")&amp;", ","") &amp; IF(A90="TAK",G90&amp;IF(J90&gt;1," x"&amp;J90,"")&amp;", ",""),L102-2)&amp;"."</f>
        <v>Widoki ścian/mebli: wiatrołap, korytarz + schody + hol piętro, kuchnia, salon z jadalnią, salon.</v>
      </c>
      <c r="G102" s="74"/>
      <c r="H102" s="74"/>
      <c r="I102" s="74"/>
      <c r="J102" s="75"/>
      <c r="K102" s="357">
        <f>IF(D102="TAK",('OFERTA - DANE'!E33 + IF(A21="TAK",'OFERTA - DANE'!F33,0)*J21 + IF(A28="TAK",'OFERTA - DANE'!G33,0)*J28 + IF(A35="TAK",'OFERTA - DANE'!H33,0)*J35 + IF(A42="TAK",'OFERTA - DANE'!I33,0)*J42 + IF(A49="TAK",'OFERTA - DANE'!J33,0)*J49 + IF(A53="TAK",'OFERTA - DANE'!K33,0)*J53 + IF(A56="TAK",'OFERTA - DANE'!L33,0)*J56 + IF(A59="TAK",'OFERTA - DANE'!M33,0)*J59 + IF(A62="TAK",'OFERTA - DANE'!N33,0)*J62 + IF(A70="TAK",'OFERTA - DANE'!O33,0)*J70 + IF(A73="TAK",'OFERTA - DANE'!P33,0)*J73 + IF(A80="TAK",'OFERTA - DANE'!Q33,0)*J80 + IF(A87="TAK",'OFERTA - DANE'!R33,0)*J87 + IF(A90="TAK",'OFERTA - DANE'!S33,0)*J90),0)*IF('OFERTA - DANE'!C53="TAK",'OFERTA - DANE'!C48/60,1)</f>
        <v>0</v>
      </c>
      <c r="L102" s="383">
        <f>LEN('OFERTA - DANE'!C33&amp; IF(A21="TAK",G21&amp;IF(J21&gt;1," x"&amp;J21,"")&amp;", ","") &amp; IF(A28="TAK",G28&amp;IF(J28&gt;1," x"&amp;J28,"")&amp;", ","") &amp; IF(A35="TAK",G35&amp;IF(J35&gt;1," x"&amp;J35,"")&amp;", ","") &amp; IF(A42="TAK",G42&amp;IF(J42&gt;1," x"&amp;J42,"")&amp;", ","") &amp; IF(A49="TAK",G49&amp;IF(J49&gt;1," x"&amp;J49,"")&amp;", ","") &amp; IF(A53="TAK",G53&amp;IF(J53&gt;1," x"&amp;J53,"")&amp;", ","") &amp; IF(A56="TAK",G56&amp;IF(J56&gt;1," x"&amp;J56,"")&amp;", ","") &amp; IF(A59="TAK",G59&amp;IF(J59&gt;1," x"&amp;J59,"")&amp;", ","") &amp; IF(A62="TAK",G62&amp;IF(J62&gt;1," x"&amp;J62,"")&amp;", ","") &amp; IF(A70="TAK",G70&amp;IF(J70&gt;1," x"&amp;J70,"")&amp;", ","") &amp; IF(A73="TAK",G73&amp;IF(J73&gt;1," x"&amp;J73,"")&amp;", ","") &amp; IF(A80="TAK",G80&amp;IF(J80&gt;1," x"&amp;J80,"")&amp;", ","") &amp; IF(A87="TAK",G87&amp;IF(J87&gt;1," x"&amp;J87,"")&amp;", ","") &amp; IF(A90="TAK",G90&amp;IF(J90&gt;1," x"&amp;J90,"")&amp;", ",""))</f>
        <v>97</v>
      </c>
      <c r="M102" s="330"/>
      <c r="N102" s="330"/>
    </row>
    <row r="103" ht="22.5" customHeight="1">
      <c r="A103" s="315"/>
      <c r="B103" s="315"/>
      <c r="C103" s="315"/>
      <c r="D103" s="83"/>
      <c r="E103" s="83"/>
      <c r="F103" s="81"/>
      <c r="G103" s="35"/>
      <c r="H103" s="35"/>
      <c r="I103" s="35"/>
      <c r="J103" s="26"/>
      <c r="K103" s="83"/>
      <c r="L103" s="330"/>
      <c r="M103" s="330"/>
      <c r="N103" s="330"/>
    </row>
    <row r="104" ht="18.75" customHeight="1">
      <c r="A104" s="315"/>
      <c r="B104" s="315"/>
      <c r="C104" s="315"/>
      <c r="D104" s="359" t="s">
        <v>48</v>
      </c>
      <c r="E104" s="331" t="str">
        <f>'OFERTA - DANE'!B34</f>
        <v>Spotkanie</v>
      </c>
      <c r="F104" s="332" t="str">
        <f>'OFERTA - DANE'!C34</f>
        <v>Objaśnienie projektu Inwestorowi lub wykonawcom prac.</v>
      </c>
      <c r="G104" s="217"/>
      <c r="H104" s="217"/>
      <c r="I104" s="217"/>
      <c r="J104" s="311"/>
      <c r="K104" s="329">
        <f>IF(D104="TAK",('OFERTA - DANE'!E34 + IF(M21="TAK",'OFERTA - DANE'!F34,0)*J21 + IF(M50="TAK",'OFERTA - DANE'!G34,0)*J50 + IF(M35="TAK",'OFERTA - DANE'!H34,0)*J35 + IF(M42="TAK",'OFERTA - DANE'!I34,0)*J42 + IF(M49="TAK",'OFERTA - DANE'!J34,0)*J49 + IF(M53="TAK",'OFERTA - DANE'!K34,0)*J53 + IF(M56="TAK",'OFERTA - DANE'!L34,0)*J56 + IF(M59="TAK",'OFERTA - DANE'!M34,0)*J59 + IF(M62="TAK",'OFERTA - DANE'!N34,0)*J62 + IF(M70="TAK",'OFERTA - DANE'!O34,0)*J70 + IF(M73="TAK",'OFERTA - DANE'!P34,0)*J73 + IF(M80="TAK",'OFERTA - DANE'!Q34,0)*J80 + IF(M87="TAK",'OFERTA - DANE'!R34,0)*J87 + IF(M90="TAK",'OFERTA - DANE'!S34,0)*J90),0)*IF('OFERTA - DANE'!C53="TAK",'OFERTA - DANE'!C48/60,1)</f>
        <v>0</v>
      </c>
      <c r="L104" s="330"/>
      <c r="M104" s="330"/>
      <c r="N104" s="330"/>
    </row>
    <row r="105" ht="15.0" customHeight="1">
      <c r="A105" s="340"/>
      <c r="B105" s="340"/>
      <c r="C105" s="340"/>
      <c r="D105" s="384" t="str">
        <f>'OFERTA - DANE'!B35</f>
        <v>POZOSTAŁE</v>
      </c>
      <c r="E105" s="338"/>
      <c r="F105" s="338"/>
      <c r="G105" s="338"/>
      <c r="H105" s="338"/>
      <c r="I105" s="338"/>
      <c r="J105" s="338"/>
      <c r="K105" s="339"/>
      <c r="L105" s="340"/>
      <c r="M105" s="340"/>
      <c r="N105" s="340"/>
    </row>
    <row r="106" ht="18.75" customHeight="1">
      <c r="A106" s="315"/>
      <c r="B106" s="315"/>
      <c r="C106" s="315"/>
      <c r="D106" s="359" t="s">
        <v>48</v>
      </c>
      <c r="E106" s="331" t="str">
        <f>'OFERTA - DANE'!B36</f>
        <v>Wykaz produktów</v>
      </c>
      <c r="F106" s="332" t="str">
        <f>'OFERTA - DANE'!C36</f>
        <v>Specyfikacja materiałowo-kolorystyczna z produktami.</v>
      </c>
      <c r="G106" s="217"/>
      <c r="H106" s="217"/>
      <c r="I106" s="217"/>
      <c r="J106" s="311"/>
      <c r="K106" s="355">
        <f>IF(D106="TAK",('OFERTA - DANE'!E36 + IF(M21="TAK",'OFERTA - DANE'!F36,0)*J21 + IF(M28="TAK",'OFERTA - DANE'!G36,0)*J28 + IF(M35="TAK",'OFERTA - DANE'!H36,0)*J35 + IF(M42="TAK",'OFERTA - DANE'!I36,0)*J42 + IF(M49="TAK",'OFERTA - DANE'!J36,0)*J49 + IF(M53="TAK",'OFERTA - DANE'!K36,0)*J53 + IF(M56="TAK",'OFERTA - DANE'!L36,0)*J56 + IF(M59="TAK",'OFERTA - DANE'!M36,0)*J59 + IF(M62="TAK",'OFERTA - DANE'!N36,0)*J62 + IF(M70="TAK",'OFERTA - DANE'!O36,0)*J70 + IF(M73="TAK",'OFERTA - DANE'!P36,0)*J73 + IF(M80="TAK",'OFERTA - DANE'!Q36,0)*J80 + IF(M87="TAK",'OFERTA - DANE'!R36,0)*J87 + IF(M90="TAK",'OFERTA - DANE'!S36,0)*J90),0)*IF('OFERTA - DANE'!C53="TAK",'OFERTA - DANE'!C48/60,1)</f>
        <v>0</v>
      </c>
      <c r="L106" s="330"/>
      <c r="M106" s="330"/>
      <c r="N106" s="330"/>
    </row>
    <row r="107" ht="18.75" customHeight="1">
      <c r="A107" s="315"/>
      <c r="B107" s="315"/>
      <c r="C107" s="315"/>
      <c r="D107" s="359" t="s">
        <v>48</v>
      </c>
      <c r="E107" s="331" t="str">
        <f>'OFERTA - DANE'!B37</f>
        <v>Kosztorys</v>
      </c>
      <c r="F107" s="332" t="str">
        <f>'OFERTA - DANE'!C37</f>
        <v>Zestawienie z szacowanymi kwotami produktowymi.</v>
      </c>
      <c r="G107" s="217"/>
      <c r="H107" s="217"/>
      <c r="I107" s="217"/>
      <c r="J107" s="311"/>
      <c r="K107" s="355">
        <f>IF(D107="TAK",('OFERTA - DANE'!E37 + IF(M21="TAK",'OFERTA - DANE'!F37,0)*J21 + IF(M28="TAK",'OFERTA - DANE'!G37,0)*J28 + IF(M35="TAK",'OFERTA - DANE'!H37,0)*J35 + IF(M42="TAK",'OFERTA - DANE'!I37,0)*J42 + IF(M49="TAK",'OFERTA - DANE'!J37,0)*J49 + IF(M53="TAK",'OFERTA - DANE'!K37,0)*J53 + IF(M56="TAK",'OFERTA - DANE'!L37,0)*J56 + IF(M59="TAK",'OFERTA - DANE'!M37,0)*J59 + IF(M62="TAK",'OFERTA - DANE'!N37,0)*J62 + IF(M70="TAK",'OFERTA - DANE'!O37,0)*J70 + IF(M73="TAK",'OFERTA - DANE'!P37,0)*J73 + IF(M80="TAK",'OFERTA - DANE'!Q37,0)*J80 + IF(M87="TAK",'OFERTA - DANE'!R37,0)*J87 + IF(M90="TAK",'OFERTA - DANE'!S37,0)*J90),0)*IF('OFERTA - DANE'!C53="TAK",'OFERTA - DANE'!C48/60,1)</f>
        <v>0</v>
      </c>
      <c r="L107" s="330"/>
      <c r="M107" s="330"/>
      <c r="N107" s="330"/>
    </row>
    <row r="108" ht="18.75" customHeight="1">
      <c r="A108" s="315"/>
      <c r="B108" s="315"/>
      <c r="C108" s="315"/>
      <c r="D108" s="359" t="s">
        <v>47</v>
      </c>
      <c r="E108" s="331" t="str">
        <f>'OFERTA - DANE'!B38</f>
        <v>Teczka projektowa</v>
      </c>
      <c r="F108" s="332" t="str">
        <f>'OFERTA - DANE'!C38</f>
        <v>Złożenie projektu w całość (zbiorczy plik pdf).</v>
      </c>
      <c r="G108" s="217"/>
      <c r="H108" s="217"/>
      <c r="I108" s="217"/>
      <c r="J108" s="311"/>
      <c r="K108" s="355">
        <v>140.0</v>
      </c>
      <c r="L108" s="330"/>
      <c r="M108" s="330"/>
      <c r="N108" s="330"/>
    </row>
    <row r="109" ht="40.5" customHeight="1">
      <c r="A109" s="315"/>
      <c r="B109" s="315"/>
      <c r="C109" s="315"/>
      <c r="D109" s="359" t="s">
        <v>47</v>
      </c>
      <c r="E109" s="331" t="str">
        <f>'OFERTA - DANE'!B39</f>
        <v>Komunikacja projektowa</v>
      </c>
      <c r="F109" s="332" t="s">
        <v>194</v>
      </c>
      <c r="G109" s="217"/>
      <c r="H109" s="217"/>
      <c r="I109" s="217"/>
      <c r="J109" s="311"/>
      <c r="K109" s="329">
        <v>200.0</v>
      </c>
      <c r="L109" s="385"/>
      <c r="M109" s="385"/>
      <c r="N109" s="385"/>
    </row>
    <row r="110" ht="18.75" customHeight="1">
      <c r="A110" s="315"/>
      <c r="B110" s="315"/>
      <c r="C110" s="315"/>
      <c r="D110" s="386" t="s">
        <v>47</v>
      </c>
      <c r="E110" s="387" t="str">
        <f>'OFERTA - DANE'!B40</f>
        <v>Dojazd</v>
      </c>
      <c r="F110" s="388" t="str">
        <f>'OFERTA - DANE'!C40</f>
        <v>Powyżej 10 km., a maksymalnie do 20 km.</v>
      </c>
      <c r="G110" s="389"/>
      <c r="H110" s="389"/>
      <c r="I110" s="389"/>
      <c r="J110" s="390"/>
      <c r="K110" s="335">
        <v>0.0</v>
      </c>
      <c r="L110" s="385"/>
      <c r="M110" s="385"/>
      <c r="N110" s="385"/>
    </row>
    <row r="111" ht="15.0" customHeight="1">
      <c r="A111" s="315"/>
      <c r="B111" s="315"/>
      <c r="C111" s="315"/>
      <c r="D111" s="391" t="str">
        <f>'OFERTA - DANE'!B41</f>
        <v>RABATY</v>
      </c>
      <c r="E111" s="35"/>
      <c r="F111" s="35"/>
      <c r="G111" s="35"/>
      <c r="H111" s="35"/>
      <c r="I111" s="35"/>
      <c r="J111" s="35"/>
      <c r="K111" s="26"/>
      <c r="L111" s="330"/>
      <c r="M111" s="330"/>
      <c r="N111" s="330"/>
    </row>
    <row r="112" ht="18.75" customHeight="1">
      <c r="A112" s="315"/>
      <c r="B112" s="315"/>
      <c r="C112" s="315"/>
      <c r="D112" s="359" t="s">
        <v>48</v>
      </c>
      <c r="E112" s="331" t="str">
        <f>'OFERTA - DANE'!B42</f>
        <v>Wizualizacje 3D uproszczone</v>
      </c>
      <c r="F112" s="332" t="str">
        <f>'OFERTA - DANE'!C42</f>
        <v>Bez dekoracji, dodatków, akcesoriów, roślin itp.</v>
      </c>
      <c r="G112" s="217"/>
      <c r="H112" s="217"/>
      <c r="I112" s="217"/>
      <c r="J112" s="311"/>
      <c r="K112" s="329">
        <v>0.0</v>
      </c>
      <c r="L112" s="330"/>
      <c r="M112" s="330"/>
      <c r="N112" s="330"/>
    </row>
    <row r="113" ht="30.0" customHeight="1">
      <c r="A113" s="315"/>
      <c r="B113" s="315"/>
      <c r="C113" s="315"/>
      <c r="D113" s="359" t="s">
        <v>47</v>
      </c>
      <c r="E113" s="331" t="s">
        <v>195</v>
      </c>
      <c r="F113" s="332" t="s">
        <v>196</v>
      </c>
      <c r="G113" s="217"/>
      <c r="H113" s="217"/>
      <c r="I113" s="217"/>
      <c r="J113" s="311"/>
      <c r="K113" s="329">
        <v>490.0</v>
      </c>
      <c r="L113" s="330"/>
      <c r="M113" s="330"/>
      <c r="N113" s="330"/>
    </row>
    <row r="114" ht="18.75" customHeight="1">
      <c r="A114" s="330"/>
      <c r="B114" s="330"/>
      <c r="C114" s="315"/>
      <c r="D114" s="359" t="s">
        <v>48</v>
      </c>
      <c r="E114" s="331" t="str">
        <f>'OFERTA - DANE'!B44</f>
        <v>Kompletny etap funkcjonalny</v>
      </c>
      <c r="F114" s="332" t="str">
        <f>'OFERTA - DANE'!C44</f>
        <v>Kompleksowy zakres opracowań funkcjonalnych.</v>
      </c>
      <c r="G114" s="217"/>
      <c r="H114" s="217"/>
      <c r="I114" s="217"/>
      <c r="J114" s="311"/>
      <c r="K114" s="329">
        <f>MROUND(IF(D114="TAK",IF(COUNTIF(D15:D19,"TAK") = 5, 'OFERTA - DANE'!E44*SUM(K15:K19),0),0),10)*IF('OFERTA - DANE'!C53="TAK",'OFERTA - DANE'!C48/60,1)</f>
        <v>0</v>
      </c>
      <c r="L114" s="330"/>
      <c r="M114" s="330"/>
      <c r="N114" s="330"/>
    </row>
    <row r="115" ht="18.75" customHeight="1">
      <c r="A115" s="330"/>
      <c r="B115" s="330"/>
      <c r="C115" s="315"/>
      <c r="D115" s="359" t="s">
        <v>48</v>
      </c>
      <c r="E115" s="331" t="str">
        <f>'OFERTA - DANE'!B45</f>
        <v>Kompletny etap wizualny</v>
      </c>
      <c r="F115" s="332" t="str">
        <f>'OFERTA - DANE'!C45</f>
        <v>Kompleksowy zakres opracowań wizualnych.</v>
      </c>
      <c r="G115" s="217"/>
      <c r="H115" s="217"/>
      <c r="I115" s="217"/>
      <c r="J115" s="311"/>
      <c r="K115" s="329">
        <f>MROUND(IF(D115="TAK",IF(COUNTIF(D22:D92,"TAK") =COUNTIF(M21:M90,"TAK")*2, 'OFERTA - DANE'!E46*SUM(K22:K92),0),0),10)*IF('OFERTA - DANE'!C53="TAK",'OFERTA - DANE'!C48/60,1)</f>
        <v>0</v>
      </c>
      <c r="L115" s="330"/>
      <c r="M115" s="330"/>
      <c r="N115" s="330"/>
    </row>
    <row r="116" ht="18.75" customHeight="1">
      <c r="A116" s="294"/>
      <c r="B116" s="294"/>
      <c r="C116" s="392"/>
      <c r="D116" s="359" t="s">
        <v>48</v>
      </c>
      <c r="E116" s="331" t="str">
        <f>'OFERTA - DANE'!B46</f>
        <v>Kompletny etap techniczny</v>
      </c>
      <c r="F116" s="332" t="str">
        <f>'OFERTA - DANE'!C46</f>
        <v>Kompleksowy zakres opracowań technicznych.</v>
      </c>
      <c r="G116" s="217"/>
      <c r="H116" s="217"/>
      <c r="I116" s="217"/>
      <c r="J116" s="311"/>
      <c r="K116" s="329">
        <f>MROUND(IF(D116="TAK",IF(COUNTIF(A21:A90,"TAK") + COUNTIF(D95:D102,"TAK") =COUNTIF(M21:M90,"TAK")+8, 'OFERTA - DANE'!E46*SUM(K95:K103),0),0),10)*IF('OFERTA - DANE'!C53="TAK",'OFERTA - DANE'!C48/60,1)</f>
        <v>0</v>
      </c>
      <c r="L116" s="330"/>
      <c r="M116" s="330"/>
      <c r="N116" s="330"/>
    </row>
    <row r="117" ht="12.75" customHeight="1">
      <c r="A117" s="164"/>
      <c r="B117" s="164"/>
      <c r="C117" s="164"/>
      <c r="D117" s="164"/>
      <c r="E117" s="164"/>
      <c r="F117" s="393"/>
      <c r="G117" s="393"/>
      <c r="H117" s="393"/>
      <c r="I117" s="393"/>
      <c r="J117" s="393"/>
      <c r="K117" s="316"/>
      <c r="L117" s="316"/>
      <c r="M117" s="316"/>
      <c r="N117" s="316"/>
    </row>
    <row r="118" ht="15.0" customHeight="1">
      <c r="A118" s="164"/>
      <c r="B118" s="164"/>
      <c r="C118" s="164"/>
      <c r="D118" s="143" t="s">
        <v>57</v>
      </c>
      <c r="E118" s="164"/>
      <c r="F118" s="161"/>
      <c r="G118" s="161"/>
      <c r="H118" s="394"/>
      <c r="I118" s="395"/>
      <c r="J118" s="396" t="s">
        <v>197</v>
      </c>
      <c r="K118" s="397">
        <f>SUM(K14:K110)</f>
        <v>15490</v>
      </c>
      <c r="L118" s="316"/>
      <c r="M118" s="316"/>
      <c r="N118" s="316"/>
    </row>
    <row r="119" ht="7.5" customHeight="1">
      <c r="A119" s="164"/>
      <c r="B119" s="164"/>
      <c r="C119" s="164"/>
      <c r="D119" s="398"/>
      <c r="E119" s="164"/>
      <c r="F119" s="161"/>
      <c r="G119" s="161"/>
      <c r="H119" s="161"/>
      <c r="I119" s="164"/>
      <c r="J119" s="164"/>
      <c r="K119" s="164"/>
      <c r="L119" s="164"/>
      <c r="M119" s="164"/>
      <c r="N119" s="164"/>
    </row>
    <row r="120" ht="15.0" customHeight="1">
      <c r="A120" s="164"/>
      <c r="B120" s="164"/>
      <c r="C120" s="164"/>
      <c r="D120" s="399" t="s">
        <v>198</v>
      </c>
      <c r="E120" s="164"/>
      <c r="F120" s="161"/>
      <c r="G120" s="161"/>
      <c r="H120" s="394"/>
      <c r="I120" s="395"/>
      <c r="J120" s="396" t="s">
        <v>199</v>
      </c>
      <c r="K120" s="397">
        <f>SUM(K112:K116)</f>
        <v>490</v>
      </c>
      <c r="L120" s="400"/>
      <c r="M120" s="400"/>
      <c r="N120" s="400"/>
    </row>
    <row r="121" ht="7.5" customHeight="1">
      <c r="A121" s="164"/>
      <c r="B121" s="164"/>
      <c r="C121" s="164"/>
      <c r="D121" s="398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</row>
    <row r="122" ht="15.0" customHeight="1">
      <c r="A122" s="164"/>
      <c r="B122" s="164"/>
      <c r="C122" s="164"/>
      <c r="D122" s="401" t="s">
        <v>200</v>
      </c>
      <c r="E122" s="13"/>
      <c r="F122" s="164"/>
      <c r="G122" s="164"/>
      <c r="H122" s="402"/>
      <c r="I122" s="395"/>
      <c r="J122" s="403" t="s">
        <v>201</v>
      </c>
      <c r="K122" s="397">
        <f>K118- K120</f>
        <v>15000</v>
      </c>
      <c r="L122" s="400"/>
      <c r="M122" s="400"/>
      <c r="N122" s="400"/>
    </row>
    <row r="123" ht="12.75" customHeight="1">
      <c r="A123" s="164"/>
      <c r="B123" s="164"/>
      <c r="C123" s="164"/>
      <c r="D123" s="164"/>
      <c r="E123" s="404"/>
      <c r="F123" s="164"/>
      <c r="G123" s="164"/>
      <c r="H123" s="161"/>
      <c r="I123" s="393"/>
      <c r="J123" s="393"/>
      <c r="K123" s="400"/>
      <c r="L123" s="400"/>
      <c r="M123" s="400"/>
      <c r="N123" s="400"/>
    </row>
    <row r="124" ht="11.25" customHeight="1">
      <c r="A124" s="405" t="s">
        <v>202</v>
      </c>
      <c r="B124" s="74"/>
      <c r="C124" s="74"/>
      <c r="D124" s="74"/>
      <c r="E124" s="74"/>
      <c r="F124" s="406"/>
      <c r="G124" s="406"/>
      <c r="H124" s="406"/>
      <c r="I124" s="406"/>
      <c r="J124" s="406"/>
      <c r="K124" s="407" t="s">
        <v>59</v>
      </c>
      <c r="L124" s="74"/>
      <c r="M124" s="74"/>
      <c r="N124" s="74"/>
    </row>
    <row r="125" ht="11.25" customHeight="1">
      <c r="A125" s="408" t="s">
        <v>60</v>
      </c>
      <c r="B125" s="409"/>
      <c r="C125" s="410"/>
      <c r="D125" s="410"/>
      <c r="E125" s="411" t="s">
        <v>203</v>
      </c>
      <c r="F125" s="410"/>
      <c r="G125" s="410"/>
      <c r="H125" s="410" t="s">
        <v>62</v>
      </c>
      <c r="I125" s="410"/>
      <c r="J125" s="410"/>
      <c r="K125" s="155" t="s">
        <v>204</v>
      </c>
    </row>
    <row r="126" ht="11.25" customHeight="1">
      <c r="A126" s="160" t="s">
        <v>64</v>
      </c>
      <c r="B126" s="412"/>
      <c r="C126" s="413"/>
      <c r="D126" s="413"/>
      <c r="E126" s="414" t="s">
        <v>205</v>
      </c>
      <c r="F126" s="413"/>
      <c r="G126" s="413"/>
      <c r="H126" s="160" t="s">
        <v>66</v>
      </c>
      <c r="I126" s="413"/>
      <c r="J126" s="413"/>
      <c r="K126" s="159" t="s">
        <v>206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34">
    <mergeCell ref="F27:J27"/>
    <mergeCell ref="F29:J29"/>
    <mergeCell ref="F30:J30"/>
    <mergeCell ref="F31:J31"/>
    <mergeCell ref="F32:J32"/>
    <mergeCell ref="G33:J33"/>
    <mergeCell ref="F34:J34"/>
    <mergeCell ref="F50:J50"/>
    <mergeCell ref="G51:J51"/>
    <mergeCell ref="F41:J41"/>
    <mergeCell ref="F43:J43"/>
    <mergeCell ref="F44:J44"/>
    <mergeCell ref="F45:J45"/>
    <mergeCell ref="F46:J46"/>
    <mergeCell ref="F47:J47"/>
    <mergeCell ref="F48:J48"/>
    <mergeCell ref="A49:B49"/>
    <mergeCell ref="M49:N49"/>
    <mergeCell ref="A53:B53"/>
    <mergeCell ref="M53:N53"/>
    <mergeCell ref="F54:J54"/>
    <mergeCell ref="A56:B56"/>
    <mergeCell ref="M56:N56"/>
    <mergeCell ref="G55:J55"/>
    <mergeCell ref="F57:J57"/>
    <mergeCell ref="G58:J58"/>
    <mergeCell ref="A59:B59"/>
    <mergeCell ref="F60:J60"/>
    <mergeCell ref="G61:J61"/>
    <mergeCell ref="A62:B62"/>
    <mergeCell ref="A1:E5"/>
    <mergeCell ref="K1:N1"/>
    <mergeCell ref="K2:N2"/>
    <mergeCell ref="I3:N3"/>
    <mergeCell ref="I4:N4"/>
    <mergeCell ref="I5:N5"/>
    <mergeCell ref="A6:N8"/>
    <mergeCell ref="D9:E9"/>
    <mergeCell ref="F9:J9"/>
    <mergeCell ref="D10:K10"/>
    <mergeCell ref="D11:K12"/>
    <mergeCell ref="D13:K13"/>
    <mergeCell ref="F14:J14"/>
    <mergeCell ref="F15:J15"/>
    <mergeCell ref="F16:J16"/>
    <mergeCell ref="G17:J17"/>
    <mergeCell ref="F18:J18"/>
    <mergeCell ref="F19:J19"/>
    <mergeCell ref="D20:K20"/>
    <mergeCell ref="A21:B21"/>
    <mergeCell ref="M21:N21"/>
    <mergeCell ref="F22:J22"/>
    <mergeCell ref="F23:J23"/>
    <mergeCell ref="F24:J24"/>
    <mergeCell ref="F25:J25"/>
    <mergeCell ref="G26:J26"/>
    <mergeCell ref="A28:B28"/>
    <mergeCell ref="M28:N28"/>
    <mergeCell ref="A35:B35"/>
    <mergeCell ref="M35:N35"/>
    <mergeCell ref="F36:J36"/>
    <mergeCell ref="F37:J37"/>
    <mergeCell ref="F38:J38"/>
    <mergeCell ref="F39:J39"/>
    <mergeCell ref="G40:J40"/>
    <mergeCell ref="A42:B42"/>
    <mergeCell ref="M42:N42"/>
    <mergeCell ref="M59:N59"/>
    <mergeCell ref="M62:N62"/>
    <mergeCell ref="F63:J63"/>
    <mergeCell ref="F64:J64"/>
    <mergeCell ref="F65:J65"/>
    <mergeCell ref="F66:J66"/>
    <mergeCell ref="F67:J67"/>
    <mergeCell ref="F101:J101"/>
    <mergeCell ref="D102:D103"/>
    <mergeCell ref="E102:E103"/>
    <mergeCell ref="F102:J103"/>
    <mergeCell ref="K102:K103"/>
    <mergeCell ref="F104:J104"/>
    <mergeCell ref="D105:K105"/>
    <mergeCell ref="D122:E122"/>
    <mergeCell ref="A124:E124"/>
    <mergeCell ref="K124:N124"/>
    <mergeCell ref="K125:N125"/>
    <mergeCell ref="K126:N126"/>
    <mergeCell ref="F106:J106"/>
    <mergeCell ref="F107:J107"/>
    <mergeCell ref="F108:J108"/>
    <mergeCell ref="F109:J109"/>
    <mergeCell ref="F110:J110"/>
    <mergeCell ref="D111:K111"/>
    <mergeCell ref="F112:J112"/>
    <mergeCell ref="G68:J68"/>
    <mergeCell ref="A70:B70"/>
    <mergeCell ref="M70:N70"/>
    <mergeCell ref="F71:J71"/>
    <mergeCell ref="G72:J72"/>
    <mergeCell ref="A73:B73"/>
    <mergeCell ref="M73:N73"/>
    <mergeCell ref="F74:J74"/>
    <mergeCell ref="F75:J75"/>
    <mergeCell ref="F76:J76"/>
    <mergeCell ref="F77:J77"/>
    <mergeCell ref="G78:J78"/>
    <mergeCell ref="A80:B80"/>
    <mergeCell ref="M80:N80"/>
    <mergeCell ref="A87:B87"/>
    <mergeCell ref="M87:N87"/>
    <mergeCell ref="F79:J79"/>
    <mergeCell ref="F81:J81"/>
    <mergeCell ref="F82:J82"/>
    <mergeCell ref="F83:J83"/>
    <mergeCell ref="F84:J84"/>
    <mergeCell ref="G85:J85"/>
    <mergeCell ref="F86:J86"/>
    <mergeCell ref="F88:J88"/>
    <mergeCell ref="G89:J89"/>
    <mergeCell ref="A90:B90"/>
    <mergeCell ref="M90:N90"/>
    <mergeCell ref="F91:J91"/>
    <mergeCell ref="G92:J92"/>
    <mergeCell ref="F93:J93"/>
    <mergeCell ref="D94:K94"/>
    <mergeCell ref="F95:J95"/>
    <mergeCell ref="F96:J96"/>
    <mergeCell ref="F97:J97"/>
    <mergeCell ref="F98:J98"/>
    <mergeCell ref="F99:J99"/>
    <mergeCell ref="F100:J100"/>
    <mergeCell ref="F113:J113"/>
    <mergeCell ref="F114:J114"/>
    <mergeCell ref="F115:J115"/>
    <mergeCell ref="F116:J116"/>
  </mergeCells>
  <conditionalFormatting sqref="D14:D19 D22:D93 D95:D104 D106:D110 D112:D116">
    <cfRule type="cellIs" dxfId="0" priority="1" operator="equal">
      <formula>"TAK"</formula>
    </cfRule>
  </conditionalFormatting>
  <conditionalFormatting sqref="G21 G28 G35 G42 G49 G53 G56 G59 G62 G70 G73 G80 G87 G90">
    <cfRule type="expression" dxfId="2" priority="2">
      <formula>'OFERTA - DOKUMENT'!M21="TAK"</formula>
    </cfRule>
  </conditionalFormatting>
  <conditionalFormatting sqref="F28:G28">
    <cfRule type="expression" dxfId="3" priority="3">
      <formula>'OFERTA - DOKUMENT'!M28="TAK"</formula>
    </cfRule>
  </conditionalFormatting>
  <conditionalFormatting sqref="F35:G35">
    <cfRule type="expression" dxfId="3" priority="4">
      <formula>'OFERTA - DOKUMENT'!M35="TAK"</formula>
    </cfRule>
  </conditionalFormatting>
  <conditionalFormatting sqref="F42:G42">
    <cfRule type="expression" dxfId="3" priority="5">
      <formula>'OFERTA - DOKUMENT'!M42="TAK"</formula>
    </cfRule>
  </conditionalFormatting>
  <conditionalFormatting sqref="F49:G49">
    <cfRule type="expression" dxfId="3" priority="6">
      <formula>'OFERTA - DOKUMENT'!M49="TAK"</formula>
    </cfRule>
  </conditionalFormatting>
  <conditionalFormatting sqref="F53:G53">
    <cfRule type="expression" dxfId="3" priority="7">
      <formula>'OFERTA - DOKUMENT'!M53="TAK"</formula>
    </cfRule>
  </conditionalFormatting>
  <conditionalFormatting sqref="F56:G56">
    <cfRule type="expression" dxfId="3" priority="8">
      <formula>'OFERTA - DOKUMENT'!M56="TAK"</formula>
    </cfRule>
  </conditionalFormatting>
  <conditionalFormatting sqref="F59:G59">
    <cfRule type="expression" dxfId="3" priority="9">
      <formula>'OFERTA - DOKUMENT'!M59="TAK"</formula>
    </cfRule>
  </conditionalFormatting>
  <conditionalFormatting sqref="F62:G62">
    <cfRule type="expression" dxfId="3" priority="10">
      <formula>'OFERTA - DOKUMENT'!M62="TAK"</formula>
    </cfRule>
  </conditionalFormatting>
  <conditionalFormatting sqref="F70:G70">
    <cfRule type="expression" dxfId="3" priority="11">
      <formula>'OFERTA - DOKUMENT'!M70="TAK"</formula>
    </cfRule>
  </conditionalFormatting>
  <conditionalFormatting sqref="F73:G73">
    <cfRule type="expression" dxfId="3" priority="12">
      <formula>'OFERTA - DOKUMENT'!M73="TAK"</formula>
    </cfRule>
  </conditionalFormatting>
  <conditionalFormatting sqref="F80:G80">
    <cfRule type="expression" dxfId="3" priority="13">
      <formula>'OFERTA - DOKUMENT'!M80="TAK"</formula>
    </cfRule>
  </conditionalFormatting>
  <conditionalFormatting sqref="F87:G87">
    <cfRule type="expression" dxfId="3" priority="14">
      <formula>'OFERTA - DOKUMENT'!M87="TAK"</formula>
    </cfRule>
  </conditionalFormatting>
  <conditionalFormatting sqref="F90:G90">
    <cfRule type="expression" dxfId="3" priority="15">
      <formula>'OFERTA - DOKUMENT'!M90="TAK"</formula>
    </cfRule>
  </conditionalFormatting>
  <conditionalFormatting sqref="I21 I28 I35 I42 I49 I53 I56 I59 I62 I70 I73 I80 I87 I90">
    <cfRule type="expression" dxfId="2" priority="16">
      <formula>'OFERTA - DOKUMENT'!M21="TAK"</formula>
    </cfRule>
  </conditionalFormatting>
  <conditionalFormatting sqref="J21 J28 J35 J42 J49 J53 J56 J59 J62 J70 J73 J80 J87 J90">
    <cfRule type="expression" dxfId="3" priority="17">
      <formula>'OFERTA - DOKUMENT'!M21="TAK"</formula>
    </cfRule>
  </conditionalFormatting>
  <conditionalFormatting sqref="E14:E19">
    <cfRule type="expression" dxfId="1" priority="18">
      <formula>'OFERTA - DOKUMENT'!D14="nie"</formula>
    </cfRule>
  </conditionalFormatting>
  <conditionalFormatting sqref="F14:J19">
    <cfRule type="expression" dxfId="1" priority="19">
      <formula>'OFERTA - DOKUMENT'!D14="nie"</formula>
    </cfRule>
  </conditionalFormatting>
  <conditionalFormatting sqref="K14:K19">
    <cfRule type="expression" dxfId="1" priority="20">
      <formula>'OFERTA - DOKUMENT'!D14="nie"</formula>
    </cfRule>
  </conditionalFormatting>
  <conditionalFormatting sqref="E22:E93">
    <cfRule type="expression" dxfId="1" priority="21">
      <formula>'OFERTA - DOKUMENT'!D22="nie"</formula>
    </cfRule>
  </conditionalFormatting>
  <conditionalFormatting sqref="K22:K93">
    <cfRule type="expression" dxfId="1" priority="22">
      <formula>'OFERTA - DOKUMENT'!D22="nie"</formula>
    </cfRule>
  </conditionalFormatting>
  <conditionalFormatting sqref="F22:J27 F29:J34 F36:J41 F43:J48 F50:J52 F54:J55 F57:J58 F60:J61 F63:J69 F71:J72 F74:J79 F81:J86 F88:J89 F91:J93">
    <cfRule type="expression" dxfId="1" priority="23">
      <formula>'OFERTA - DOKUMENT'!D22="nie"</formula>
    </cfRule>
  </conditionalFormatting>
  <conditionalFormatting sqref="E95:E104">
    <cfRule type="expression" dxfId="1" priority="24">
      <formula>'OFERTA - DOKUMENT'!D95="nie"</formula>
    </cfRule>
  </conditionalFormatting>
  <conditionalFormatting sqref="F95:J104">
    <cfRule type="expression" dxfId="1" priority="25">
      <formula>'OFERTA - DOKUMENT'!D95="nie"</formula>
    </cfRule>
  </conditionalFormatting>
  <conditionalFormatting sqref="K95:K104">
    <cfRule type="expression" dxfId="1" priority="26">
      <formula>'OFERTA - DOKUMENT'!D95="nie"</formula>
    </cfRule>
  </conditionalFormatting>
  <conditionalFormatting sqref="E106:E110">
    <cfRule type="expression" dxfId="1" priority="27">
      <formula>'OFERTA - DOKUMENT'!D106="nie"</formula>
    </cfRule>
  </conditionalFormatting>
  <conditionalFormatting sqref="F106:J110">
    <cfRule type="expression" dxfId="1" priority="28">
      <formula>'OFERTA - DOKUMENT'!D106="nie"</formula>
    </cfRule>
  </conditionalFormatting>
  <conditionalFormatting sqref="K106:K110">
    <cfRule type="expression" dxfId="1" priority="29">
      <formula>'OFERTA - DOKUMENT'!D106="nie"</formula>
    </cfRule>
  </conditionalFormatting>
  <conditionalFormatting sqref="E112:E116">
    <cfRule type="expression" dxfId="1" priority="30">
      <formula>'OFERTA - DOKUMENT'!D112="nie"</formula>
    </cfRule>
  </conditionalFormatting>
  <conditionalFormatting sqref="F112:J116">
    <cfRule type="expression" dxfId="1" priority="31">
      <formula>'OFERTA - DOKUMENT'!D112="nie"</formula>
    </cfRule>
  </conditionalFormatting>
  <conditionalFormatting sqref="K112:K116">
    <cfRule type="expression" dxfId="1" priority="32">
      <formula>'OFERTA - DOKUMENT'!D112="nie"</formula>
    </cfRule>
  </conditionalFormatting>
  <conditionalFormatting sqref="D23:D27 F34 F48 G33:J33 G40:J40 G51:J51 G55:J55 G58:J58 G61:J61 G68:J69 G72:J72 G78:J78 G85:J85 G89:J89 G92:J92">
    <cfRule type="expression" dxfId="1" priority="33">
      <formula>'OFERTA - DOKUMENT'!D23="nie"</formula>
    </cfRule>
  </conditionalFormatting>
  <conditionalFormatting sqref="F34 F48 G26:J26 G33:J33 G40:J40 G51:J51 G55:J55 G58:J58 G61:J61 G68:J69 G72:J72 G78:J78 G85:J85 G89:J89 G92:J92">
    <cfRule type="expression" dxfId="1" priority="34">
      <formula>'OFERTA - DOKUMENT'!D26="nie"</formula>
    </cfRule>
  </conditionalFormatting>
  <conditionalFormatting sqref="G17:J17">
    <cfRule type="expression" dxfId="1" priority="35">
      <formula>'OFERTA - DOKUMENT'!D17="nie"</formula>
    </cfRule>
  </conditionalFormatting>
  <dataValidations>
    <dataValidation type="list" allowBlank="1" showDropDown="1" sqref="E30:E34 E37:E41 E44:E48 E51 E55 E58 E61 E68:E69 E72 E75:E79 E82:E86 E89 E92">
      <formula1>'OFERTA - DANE'!$B$20:$B$23</formula1>
    </dataValidation>
  </dataValidations>
  <printOptions gridLines="1" horizontalCentered="1"/>
  <pageMargins bottom="0.0" footer="0.0" header="0.0" left="0.31496062992125984" right="0.31496062992125984" top="0.31496062992125984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5.13"/>
    <col customWidth="1" min="3" max="3" width="10.13"/>
    <col customWidth="1" min="6" max="6" width="20.13"/>
    <col customWidth="1" min="8" max="8" width="25.13"/>
    <col customWidth="1" min="9" max="10" width="20.13"/>
  </cols>
  <sheetData>
    <row r="1">
      <c r="A1" s="164"/>
      <c r="B1" s="415"/>
      <c r="C1" s="415"/>
      <c r="D1" s="415"/>
      <c r="E1" s="415"/>
      <c r="F1" s="291"/>
      <c r="G1" s="415"/>
      <c r="H1" s="291"/>
      <c r="I1" s="415"/>
      <c r="J1" s="164"/>
      <c r="K1" s="164"/>
    </row>
    <row r="2">
      <c r="A2" s="164"/>
      <c r="B2" s="416" t="s">
        <v>207</v>
      </c>
      <c r="K2" s="164"/>
    </row>
    <row r="3">
      <c r="A3" s="164"/>
      <c r="K3" s="164"/>
    </row>
    <row r="4">
      <c r="A4" s="164"/>
      <c r="K4" s="164"/>
    </row>
    <row r="5">
      <c r="A5" s="164"/>
      <c r="B5" s="417" t="s">
        <v>208</v>
      </c>
      <c r="K5" s="164"/>
    </row>
    <row r="6">
      <c r="A6" s="418"/>
      <c r="B6" s="419" t="s">
        <v>209</v>
      </c>
      <c r="C6" s="419" t="s">
        <v>210</v>
      </c>
      <c r="D6" s="419" t="s">
        <v>211</v>
      </c>
      <c r="E6" s="419" t="s">
        <v>212</v>
      </c>
      <c r="F6" s="419" t="s">
        <v>46</v>
      </c>
      <c r="G6" s="419" t="s">
        <v>213</v>
      </c>
      <c r="H6" s="419" t="s">
        <v>214</v>
      </c>
      <c r="I6" s="419" t="s">
        <v>215</v>
      </c>
      <c r="J6" s="419" t="s">
        <v>216</v>
      </c>
      <c r="K6" s="418"/>
    </row>
    <row r="7" ht="18.75" customHeight="1">
      <c r="A7" s="418"/>
      <c r="B7" s="420">
        <v>1.0</v>
      </c>
      <c r="C7" s="421">
        <v>44896.0</v>
      </c>
      <c r="D7" s="422"/>
      <c r="E7" s="422"/>
      <c r="F7" s="422"/>
      <c r="G7" s="420"/>
      <c r="H7" s="423"/>
      <c r="I7" s="420"/>
      <c r="J7" s="423"/>
      <c r="K7" s="418"/>
    </row>
    <row r="8" ht="18.75" customHeight="1">
      <c r="A8" s="418"/>
      <c r="B8" s="420">
        <v>2.0</v>
      </c>
      <c r="C8" s="421">
        <v>44896.0</v>
      </c>
      <c r="D8" s="422"/>
      <c r="E8" s="422"/>
      <c r="F8" s="422"/>
      <c r="G8" s="420"/>
      <c r="H8" s="423"/>
      <c r="I8" s="420"/>
      <c r="J8" s="423"/>
      <c r="K8" s="418"/>
    </row>
    <row r="9" ht="18.75" customHeight="1">
      <c r="A9" s="418"/>
      <c r="B9" s="420">
        <v>3.0</v>
      </c>
      <c r="C9" s="421">
        <v>44896.0</v>
      </c>
      <c r="D9" s="422"/>
      <c r="E9" s="422"/>
      <c r="F9" s="422"/>
      <c r="G9" s="420"/>
      <c r="H9" s="423"/>
      <c r="I9" s="420"/>
      <c r="J9" s="423"/>
      <c r="K9" s="418"/>
    </row>
    <row r="10" ht="18.75" customHeight="1">
      <c r="A10" s="418"/>
      <c r="B10" s="420">
        <v>4.0</v>
      </c>
      <c r="C10" s="421">
        <v>44896.0</v>
      </c>
      <c r="D10" s="422"/>
      <c r="E10" s="422"/>
      <c r="F10" s="422"/>
      <c r="G10" s="420"/>
      <c r="H10" s="423"/>
      <c r="I10" s="420"/>
      <c r="J10" s="423"/>
      <c r="K10" s="418"/>
    </row>
    <row r="11" ht="18.75" customHeight="1">
      <c r="A11" s="418"/>
      <c r="B11" s="420">
        <v>5.0</v>
      </c>
      <c r="C11" s="421">
        <v>44896.0</v>
      </c>
      <c r="D11" s="422"/>
      <c r="E11" s="422"/>
      <c r="F11" s="422"/>
      <c r="G11" s="420"/>
      <c r="H11" s="423"/>
      <c r="I11" s="420"/>
      <c r="J11" s="423"/>
      <c r="K11" s="418"/>
    </row>
    <row r="12" ht="18.75" customHeight="1">
      <c r="A12" s="418"/>
      <c r="B12" s="420">
        <v>6.0</v>
      </c>
      <c r="C12" s="421">
        <v>44896.0</v>
      </c>
      <c r="D12" s="422"/>
      <c r="E12" s="422"/>
      <c r="F12" s="422"/>
      <c r="G12" s="420"/>
      <c r="H12" s="423"/>
      <c r="I12" s="420"/>
      <c r="J12" s="423"/>
      <c r="K12" s="418"/>
    </row>
    <row r="13" ht="18.75" customHeight="1">
      <c r="A13" s="418"/>
      <c r="B13" s="420">
        <v>7.0</v>
      </c>
      <c r="C13" s="421">
        <v>44896.0</v>
      </c>
      <c r="D13" s="422"/>
      <c r="E13" s="422"/>
      <c r="F13" s="422"/>
      <c r="G13" s="420"/>
      <c r="H13" s="423"/>
      <c r="I13" s="420"/>
      <c r="J13" s="423"/>
      <c r="K13" s="418"/>
    </row>
    <row r="14" ht="18.75" customHeight="1">
      <c r="A14" s="418"/>
      <c r="B14" s="420">
        <v>8.0</v>
      </c>
      <c r="C14" s="421">
        <v>44896.0</v>
      </c>
      <c r="D14" s="422"/>
      <c r="E14" s="422"/>
      <c r="F14" s="422"/>
      <c r="G14" s="420"/>
      <c r="H14" s="423"/>
      <c r="I14" s="420"/>
      <c r="J14" s="423"/>
      <c r="K14" s="418"/>
    </row>
    <row r="15" ht="18.75" customHeight="1">
      <c r="A15" s="418"/>
      <c r="B15" s="420">
        <v>9.0</v>
      </c>
      <c r="C15" s="421">
        <v>44896.0</v>
      </c>
      <c r="D15" s="422"/>
      <c r="E15" s="422"/>
      <c r="F15" s="422"/>
      <c r="G15" s="420"/>
      <c r="H15" s="423"/>
      <c r="I15" s="420"/>
      <c r="J15" s="423"/>
      <c r="K15" s="418"/>
    </row>
    <row r="16" ht="18.75" customHeight="1">
      <c r="A16" s="418"/>
      <c r="B16" s="420">
        <v>10.0</v>
      </c>
      <c r="C16" s="421">
        <v>44896.0</v>
      </c>
      <c r="D16" s="422"/>
      <c r="E16" s="422"/>
      <c r="F16" s="422"/>
      <c r="G16" s="420"/>
      <c r="H16" s="423"/>
      <c r="I16" s="420"/>
      <c r="J16" s="423"/>
      <c r="K16" s="418"/>
    </row>
    <row r="17" ht="18.75" customHeight="1">
      <c r="A17" s="418"/>
      <c r="B17" s="420">
        <v>11.0</v>
      </c>
      <c r="C17" s="421">
        <v>44896.0</v>
      </c>
      <c r="D17" s="422"/>
      <c r="E17" s="422"/>
      <c r="F17" s="422"/>
      <c r="G17" s="420"/>
      <c r="H17" s="423"/>
      <c r="I17" s="420"/>
      <c r="J17" s="423"/>
      <c r="K17" s="418"/>
    </row>
    <row r="18" ht="18.75" customHeight="1">
      <c r="A18" s="418"/>
      <c r="B18" s="420">
        <v>12.0</v>
      </c>
      <c r="C18" s="421">
        <v>44896.0</v>
      </c>
      <c r="D18" s="422"/>
      <c r="E18" s="422"/>
      <c r="F18" s="422"/>
      <c r="G18" s="420"/>
      <c r="H18" s="423"/>
      <c r="I18" s="420"/>
      <c r="J18" s="423"/>
      <c r="K18" s="418"/>
    </row>
    <row r="19" ht="18.75" customHeight="1">
      <c r="A19" s="418"/>
      <c r="B19" s="420">
        <v>13.0</v>
      </c>
      <c r="C19" s="421">
        <v>44896.0</v>
      </c>
      <c r="D19" s="422"/>
      <c r="E19" s="422"/>
      <c r="F19" s="422"/>
      <c r="G19" s="420"/>
      <c r="H19" s="423"/>
      <c r="I19" s="420"/>
      <c r="J19" s="423"/>
      <c r="K19" s="418"/>
    </row>
    <row r="20" ht="18.75" customHeight="1">
      <c r="A20" s="418"/>
      <c r="B20" s="420">
        <v>14.0</v>
      </c>
      <c r="C20" s="421">
        <v>44896.0</v>
      </c>
      <c r="D20" s="422"/>
      <c r="E20" s="422"/>
      <c r="F20" s="422"/>
      <c r="G20" s="420"/>
      <c r="H20" s="423"/>
      <c r="I20" s="420"/>
      <c r="J20" s="423"/>
      <c r="K20" s="418"/>
    </row>
    <row r="21" ht="18.75" customHeight="1">
      <c r="A21" s="418"/>
      <c r="B21" s="420">
        <v>15.0</v>
      </c>
      <c r="C21" s="421">
        <v>44896.0</v>
      </c>
      <c r="D21" s="422"/>
      <c r="E21" s="422"/>
      <c r="F21" s="422"/>
      <c r="G21" s="420"/>
      <c r="H21" s="423"/>
      <c r="I21" s="420"/>
      <c r="J21" s="423"/>
      <c r="K21" s="418"/>
    </row>
    <row r="22" ht="18.75" customHeight="1">
      <c r="A22" s="418"/>
      <c r="B22" s="420">
        <v>16.0</v>
      </c>
      <c r="C22" s="421">
        <v>44896.0</v>
      </c>
      <c r="D22" s="422"/>
      <c r="E22" s="422"/>
      <c r="F22" s="422"/>
      <c r="G22" s="420"/>
      <c r="H22" s="423"/>
      <c r="I22" s="420"/>
      <c r="J22" s="423"/>
      <c r="K22" s="418"/>
    </row>
    <row r="23" ht="18.75" customHeight="1">
      <c r="A23" s="418"/>
      <c r="B23" s="420">
        <v>17.0</v>
      </c>
      <c r="C23" s="421">
        <v>44896.0</v>
      </c>
      <c r="D23" s="422"/>
      <c r="E23" s="422"/>
      <c r="F23" s="422"/>
      <c r="G23" s="420"/>
      <c r="H23" s="423"/>
      <c r="I23" s="420"/>
      <c r="J23" s="423"/>
      <c r="K23" s="418"/>
    </row>
    <row r="24" ht="18.75" customHeight="1">
      <c r="A24" s="418"/>
      <c r="B24" s="420">
        <v>18.0</v>
      </c>
      <c r="C24" s="421">
        <v>44896.0</v>
      </c>
      <c r="D24" s="422"/>
      <c r="E24" s="422"/>
      <c r="F24" s="422"/>
      <c r="G24" s="420"/>
      <c r="H24" s="423"/>
      <c r="I24" s="420"/>
      <c r="J24" s="423"/>
      <c r="K24" s="418"/>
    </row>
    <row r="25" ht="18.75" customHeight="1">
      <c r="A25" s="418"/>
      <c r="B25" s="420">
        <v>19.0</v>
      </c>
      <c r="C25" s="421">
        <v>44896.0</v>
      </c>
      <c r="D25" s="422"/>
      <c r="E25" s="422"/>
      <c r="F25" s="422"/>
      <c r="G25" s="420"/>
      <c r="H25" s="423"/>
      <c r="I25" s="420"/>
      <c r="J25" s="423"/>
      <c r="K25" s="418"/>
    </row>
    <row r="26" ht="18.75" customHeight="1">
      <c r="A26" s="418"/>
      <c r="B26" s="420">
        <v>20.0</v>
      </c>
      <c r="C26" s="421">
        <v>44896.0</v>
      </c>
      <c r="D26" s="422"/>
      <c r="E26" s="422"/>
      <c r="F26" s="422"/>
      <c r="G26" s="420"/>
      <c r="H26" s="423"/>
      <c r="I26" s="420"/>
      <c r="J26" s="423"/>
      <c r="K26" s="418"/>
    </row>
    <row r="27" ht="18.75" customHeight="1">
      <c r="A27" s="418"/>
      <c r="B27" s="420">
        <v>21.0</v>
      </c>
      <c r="C27" s="421">
        <v>44896.0</v>
      </c>
      <c r="D27" s="422"/>
      <c r="E27" s="422"/>
      <c r="F27" s="422"/>
      <c r="G27" s="420"/>
      <c r="H27" s="422"/>
      <c r="I27" s="420"/>
      <c r="J27" s="423"/>
      <c r="K27" s="418"/>
    </row>
    <row r="28" ht="18.75" customHeight="1">
      <c r="A28" s="164"/>
      <c r="B28" s="420">
        <v>22.0</v>
      </c>
      <c r="C28" s="421">
        <v>44896.0</v>
      </c>
      <c r="D28" s="422"/>
      <c r="E28" s="422"/>
      <c r="F28" s="422"/>
      <c r="G28" s="420"/>
      <c r="H28" s="423"/>
      <c r="I28" s="420"/>
      <c r="J28" s="423"/>
      <c r="K28" s="164"/>
    </row>
    <row r="29" ht="15.75" customHeight="1">
      <c r="A29" s="164"/>
      <c r="B29" s="420">
        <v>23.0</v>
      </c>
      <c r="C29" s="421">
        <v>44896.0</v>
      </c>
      <c r="D29" s="422"/>
      <c r="E29" s="422"/>
      <c r="F29" s="422"/>
      <c r="G29" s="420"/>
      <c r="H29" s="422"/>
      <c r="I29" s="420"/>
      <c r="J29" s="423"/>
      <c r="K29" s="164"/>
    </row>
    <row r="30" ht="15.75" customHeight="1">
      <c r="A30" s="164"/>
      <c r="B30" s="420">
        <v>24.0</v>
      </c>
      <c r="C30" s="421">
        <v>44896.0</v>
      </c>
      <c r="D30" s="422"/>
      <c r="E30" s="422"/>
      <c r="F30" s="422"/>
      <c r="G30" s="420"/>
      <c r="H30" s="423"/>
      <c r="I30" s="420"/>
      <c r="J30" s="423"/>
      <c r="K30" s="164"/>
    </row>
    <row r="31" ht="15.75" customHeight="1">
      <c r="A31" s="164"/>
      <c r="B31" s="420">
        <v>25.0</v>
      </c>
      <c r="C31" s="421">
        <v>44896.0</v>
      </c>
      <c r="D31" s="422"/>
      <c r="E31" s="422"/>
      <c r="F31" s="422"/>
      <c r="G31" s="420"/>
      <c r="H31" s="422"/>
      <c r="I31" s="420"/>
      <c r="J31" s="423"/>
      <c r="K31" s="164"/>
    </row>
    <row r="32" ht="15.75" customHeight="1">
      <c r="A32" s="164"/>
      <c r="B32" s="420">
        <v>26.0</v>
      </c>
      <c r="C32" s="421">
        <v>44896.0</v>
      </c>
      <c r="D32" s="422"/>
      <c r="E32" s="422"/>
      <c r="F32" s="422"/>
      <c r="G32" s="420"/>
      <c r="H32" s="423"/>
      <c r="I32" s="420"/>
      <c r="J32" s="423"/>
      <c r="K32" s="164"/>
    </row>
    <row r="33" ht="15.75" customHeight="1">
      <c r="A33" s="164"/>
      <c r="B33" s="420">
        <v>27.0</v>
      </c>
      <c r="C33" s="421">
        <v>44896.0</v>
      </c>
      <c r="D33" s="422"/>
      <c r="E33" s="422"/>
      <c r="F33" s="422"/>
      <c r="G33" s="420"/>
      <c r="H33" s="422"/>
      <c r="I33" s="420"/>
      <c r="J33" s="423"/>
      <c r="K33" s="164"/>
    </row>
    <row r="34" ht="15.75" customHeight="1">
      <c r="A34" s="164"/>
      <c r="B34" s="420">
        <v>28.0</v>
      </c>
      <c r="C34" s="421">
        <v>44896.0</v>
      </c>
      <c r="D34" s="422"/>
      <c r="E34" s="422"/>
      <c r="F34" s="422"/>
      <c r="G34" s="420"/>
      <c r="H34" s="423"/>
      <c r="I34" s="420"/>
      <c r="J34" s="423"/>
      <c r="K34" s="164"/>
    </row>
    <row r="35" ht="15.75" customHeight="1">
      <c r="A35" s="164"/>
      <c r="B35" s="420">
        <v>29.0</v>
      </c>
      <c r="C35" s="421">
        <v>44896.0</v>
      </c>
      <c r="D35" s="422"/>
      <c r="E35" s="422"/>
      <c r="F35" s="422"/>
      <c r="G35" s="420"/>
      <c r="H35" s="423"/>
      <c r="I35" s="420"/>
      <c r="J35" s="423"/>
      <c r="K35" s="164"/>
    </row>
    <row r="36" ht="15.75" customHeight="1">
      <c r="A36" s="164"/>
      <c r="B36" s="420">
        <v>30.0</v>
      </c>
      <c r="C36" s="421">
        <v>44896.0</v>
      </c>
      <c r="D36" s="422"/>
      <c r="E36" s="422"/>
      <c r="F36" s="422"/>
      <c r="G36" s="420"/>
      <c r="H36" s="423"/>
      <c r="I36" s="420"/>
      <c r="J36" s="423"/>
      <c r="K36" s="164"/>
    </row>
    <row r="37" ht="15.75" customHeight="1">
      <c r="A37" s="164"/>
      <c r="B37" s="420">
        <v>31.0</v>
      </c>
      <c r="C37" s="421">
        <v>44896.0</v>
      </c>
      <c r="D37" s="422"/>
      <c r="E37" s="422"/>
      <c r="F37" s="422"/>
      <c r="G37" s="420"/>
      <c r="H37" s="423"/>
      <c r="I37" s="420"/>
      <c r="J37" s="423"/>
      <c r="K37" s="164"/>
    </row>
    <row r="38" ht="15.75" customHeight="1">
      <c r="A38" s="164"/>
      <c r="B38" s="420">
        <v>32.0</v>
      </c>
      <c r="C38" s="421">
        <v>44896.0</v>
      </c>
      <c r="D38" s="422"/>
      <c r="E38" s="422"/>
      <c r="F38" s="422"/>
      <c r="G38" s="420"/>
      <c r="H38" s="422"/>
      <c r="I38" s="420"/>
      <c r="J38" s="423"/>
      <c r="K38" s="164"/>
    </row>
    <row r="39" ht="15.75" customHeight="1">
      <c r="A39" s="164"/>
      <c r="B39" s="420">
        <v>33.0</v>
      </c>
      <c r="C39" s="421">
        <v>44896.0</v>
      </c>
      <c r="D39" s="422"/>
      <c r="E39" s="422"/>
      <c r="F39" s="422"/>
      <c r="G39" s="420"/>
      <c r="H39" s="423"/>
      <c r="I39" s="420"/>
      <c r="J39" s="423"/>
      <c r="K39" s="164"/>
    </row>
    <row r="40" ht="15.75" customHeight="1">
      <c r="A40" s="164"/>
      <c r="B40" s="420">
        <v>34.0</v>
      </c>
      <c r="C40" s="421">
        <v>44896.0</v>
      </c>
      <c r="D40" s="422"/>
      <c r="E40" s="422"/>
      <c r="F40" s="422"/>
      <c r="G40" s="420"/>
      <c r="H40" s="422"/>
      <c r="I40" s="420"/>
      <c r="J40" s="423"/>
      <c r="K40" s="164"/>
    </row>
    <row r="41" ht="15.75" customHeight="1">
      <c r="A41" s="164"/>
      <c r="B41" s="420">
        <v>35.0</v>
      </c>
      <c r="C41" s="421">
        <v>44896.0</v>
      </c>
      <c r="D41" s="422"/>
      <c r="E41" s="422"/>
      <c r="F41" s="422"/>
      <c r="G41" s="420"/>
      <c r="H41" s="423"/>
      <c r="I41" s="420"/>
      <c r="J41" s="423"/>
      <c r="K41" s="164"/>
    </row>
    <row r="42" ht="15.75" customHeight="1">
      <c r="A42" s="164"/>
      <c r="B42" s="420">
        <v>36.0</v>
      </c>
      <c r="C42" s="421">
        <v>44896.0</v>
      </c>
      <c r="D42" s="422"/>
      <c r="E42" s="422"/>
      <c r="F42" s="422"/>
      <c r="G42" s="420"/>
      <c r="H42" s="423"/>
      <c r="I42" s="420"/>
      <c r="J42" s="423"/>
      <c r="K42" s="164"/>
    </row>
    <row r="43" ht="15.75" customHeight="1">
      <c r="A43" s="164"/>
      <c r="B43" s="420">
        <v>37.0</v>
      </c>
      <c r="C43" s="421">
        <v>44896.0</v>
      </c>
      <c r="D43" s="422"/>
      <c r="E43" s="422"/>
      <c r="F43" s="422"/>
      <c r="G43" s="420"/>
      <c r="H43" s="422"/>
      <c r="I43" s="420"/>
      <c r="J43" s="423"/>
      <c r="K43" s="164"/>
    </row>
    <row r="44" ht="15.75" customHeight="1">
      <c r="A44" s="164"/>
      <c r="B44" s="420">
        <v>38.0</v>
      </c>
      <c r="C44" s="421">
        <v>44896.0</v>
      </c>
      <c r="D44" s="422"/>
      <c r="E44" s="422"/>
      <c r="F44" s="422"/>
      <c r="G44" s="420"/>
      <c r="H44" s="423"/>
      <c r="I44" s="420"/>
      <c r="J44" s="423"/>
      <c r="K44" s="164"/>
    </row>
    <row r="45" ht="15.75" customHeight="1">
      <c r="A45" s="164"/>
      <c r="B45" s="420">
        <v>39.0</v>
      </c>
      <c r="C45" s="421">
        <v>44896.0</v>
      </c>
      <c r="D45" s="422"/>
      <c r="E45" s="422"/>
      <c r="F45" s="422"/>
      <c r="G45" s="420"/>
      <c r="H45" s="422"/>
      <c r="I45" s="420"/>
      <c r="J45" s="423"/>
      <c r="K45" s="164"/>
    </row>
    <row r="46" ht="15.75" customHeight="1">
      <c r="A46" s="164"/>
      <c r="B46" s="420">
        <v>40.0</v>
      </c>
      <c r="C46" s="421">
        <v>44896.0</v>
      </c>
      <c r="D46" s="422"/>
      <c r="E46" s="422"/>
      <c r="F46" s="422"/>
      <c r="G46" s="420"/>
      <c r="H46" s="423"/>
      <c r="I46" s="420"/>
      <c r="J46" s="423"/>
      <c r="K46" s="164"/>
    </row>
    <row r="47" ht="15.75" customHeight="1">
      <c r="A47" s="164"/>
      <c r="B47" s="420">
        <v>41.0</v>
      </c>
      <c r="C47" s="421">
        <v>44896.0</v>
      </c>
      <c r="D47" s="422"/>
      <c r="E47" s="422"/>
      <c r="F47" s="422"/>
      <c r="G47" s="420"/>
      <c r="H47" s="422"/>
      <c r="I47" s="420"/>
      <c r="J47" s="423"/>
      <c r="K47" s="164"/>
    </row>
    <row r="48" ht="15.75" customHeight="1">
      <c r="A48" s="164"/>
      <c r="B48" s="420">
        <v>42.0</v>
      </c>
      <c r="C48" s="421">
        <v>44896.0</v>
      </c>
      <c r="D48" s="422"/>
      <c r="E48" s="422"/>
      <c r="F48" s="422"/>
      <c r="G48" s="420"/>
      <c r="H48" s="423"/>
      <c r="I48" s="420"/>
      <c r="J48" s="423"/>
      <c r="K48" s="164"/>
    </row>
    <row r="49" ht="15.75" customHeight="1">
      <c r="A49" s="164"/>
      <c r="B49" s="420">
        <v>43.0</v>
      </c>
      <c r="C49" s="421">
        <v>44896.0</v>
      </c>
      <c r="D49" s="422"/>
      <c r="E49" s="422"/>
      <c r="F49" s="422"/>
      <c r="G49" s="420"/>
      <c r="H49" s="423"/>
      <c r="I49" s="420"/>
      <c r="J49" s="423"/>
      <c r="K49" s="164"/>
    </row>
    <row r="50" ht="15.75" customHeight="1">
      <c r="A50" s="164"/>
      <c r="B50" s="420">
        <v>44.0</v>
      </c>
      <c r="C50" s="421">
        <v>44896.0</v>
      </c>
      <c r="D50" s="422"/>
      <c r="E50" s="422"/>
      <c r="F50" s="422"/>
      <c r="G50" s="420"/>
      <c r="H50" s="422"/>
      <c r="I50" s="420"/>
      <c r="J50" s="423"/>
      <c r="K50" s="164"/>
    </row>
    <row r="51" ht="15.75" customHeight="1">
      <c r="A51" s="164"/>
      <c r="B51" s="420">
        <v>45.0</v>
      </c>
      <c r="C51" s="421">
        <v>44896.0</v>
      </c>
      <c r="D51" s="422"/>
      <c r="E51" s="422"/>
      <c r="F51" s="422"/>
      <c r="G51" s="420"/>
      <c r="H51" s="423"/>
      <c r="I51" s="420"/>
      <c r="J51" s="423"/>
      <c r="K51" s="164"/>
    </row>
    <row r="52" ht="15.75" customHeight="1">
      <c r="A52" s="164"/>
      <c r="B52" s="420">
        <v>46.0</v>
      </c>
      <c r="C52" s="421">
        <v>44896.0</v>
      </c>
      <c r="D52" s="422"/>
      <c r="E52" s="422"/>
      <c r="F52" s="422"/>
      <c r="G52" s="420"/>
      <c r="H52" s="422"/>
      <c r="I52" s="420"/>
      <c r="J52" s="423"/>
      <c r="K52" s="164"/>
    </row>
    <row r="53" ht="15.75" customHeight="1">
      <c r="A53" s="164"/>
      <c r="B53" s="420">
        <v>47.0</v>
      </c>
      <c r="C53" s="421">
        <v>44896.0</v>
      </c>
      <c r="D53" s="422"/>
      <c r="E53" s="422"/>
      <c r="F53" s="422"/>
      <c r="G53" s="420"/>
      <c r="H53" s="423"/>
      <c r="I53" s="420"/>
      <c r="J53" s="423"/>
      <c r="K53" s="164"/>
    </row>
    <row r="54" ht="15.75" customHeight="1">
      <c r="A54" s="164"/>
      <c r="B54" s="420">
        <v>48.0</v>
      </c>
      <c r="C54" s="421">
        <v>44896.0</v>
      </c>
      <c r="D54" s="422"/>
      <c r="E54" s="422"/>
      <c r="F54" s="422"/>
      <c r="G54" s="420"/>
      <c r="H54" s="422"/>
      <c r="I54" s="420"/>
      <c r="J54" s="423"/>
      <c r="K54" s="164"/>
    </row>
    <row r="55" ht="15.75" customHeight="1">
      <c r="A55" s="164"/>
      <c r="B55" s="420">
        <v>49.0</v>
      </c>
      <c r="C55" s="421">
        <v>44896.0</v>
      </c>
      <c r="D55" s="422"/>
      <c r="E55" s="422"/>
      <c r="F55" s="422"/>
      <c r="G55" s="420"/>
      <c r="H55" s="423"/>
      <c r="I55" s="420"/>
      <c r="J55" s="423"/>
      <c r="K55" s="164"/>
    </row>
    <row r="56" ht="15.75" customHeight="1">
      <c r="A56" s="164"/>
      <c r="B56" s="420">
        <v>50.0</v>
      </c>
      <c r="C56" s="421">
        <v>44896.0</v>
      </c>
      <c r="D56" s="422"/>
      <c r="E56" s="422"/>
      <c r="F56" s="422"/>
      <c r="G56" s="420"/>
      <c r="H56" s="423"/>
      <c r="I56" s="420"/>
      <c r="J56" s="423"/>
      <c r="K56" s="164"/>
    </row>
    <row r="57" ht="15.75" customHeight="1">
      <c r="A57" s="164"/>
      <c r="B57" s="420">
        <v>51.0</v>
      </c>
      <c r="C57" s="421">
        <v>44896.0</v>
      </c>
      <c r="D57" s="422"/>
      <c r="E57" s="422"/>
      <c r="F57" s="422"/>
      <c r="G57" s="420"/>
      <c r="H57" s="422"/>
      <c r="I57" s="420"/>
      <c r="J57" s="423"/>
      <c r="K57" s="164"/>
    </row>
    <row r="58" ht="15.75" customHeight="1">
      <c r="A58" s="164"/>
      <c r="B58" s="420">
        <v>52.0</v>
      </c>
      <c r="C58" s="421">
        <v>44896.0</v>
      </c>
      <c r="D58" s="422"/>
      <c r="E58" s="422"/>
      <c r="F58" s="422"/>
      <c r="G58" s="420"/>
      <c r="H58" s="423"/>
      <c r="I58" s="420"/>
      <c r="J58" s="423"/>
      <c r="K58" s="164"/>
    </row>
    <row r="59" ht="15.75" customHeight="1">
      <c r="A59" s="164"/>
      <c r="B59" s="420">
        <v>53.0</v>
      </c>
      <c r="C59" s="421">
        <v>44896.0</v>
      </c>
      <c r="D59" s="422"/>
      <c r="E59" s="422"/>
      <c r="F59" s="422"/>
      <c r="G59" s="420"/>
      <c r="H59" s="422"/>
      <c r="I59" s="420"/>
      <c r="J59" s="423"/>
      <c r="K59" s="164"/>
    </row>
    <row r="60" ht="15.75" customHeight="1">
      <c r="A60" s="164"/>
      <c r="B60" s="420">
        <v>54.0</v>
      </c>
      <c r="C60" s="421">
        <v>44896.0</v>
      </c>
      <c r="D60" s="422"/>
      <c r="E60" s="422"/>
      <c r="F60" s="422"/>
      <c r="G60" s="420"/>
      <c r="H60" s="423"/>
      <c r="I60" s="420"/>
      <c r="J60" s="423"/>
      <c r="K60" s="164"/>
    </row>
    <row r="61" ht="15.75" customHeight="1">
      <c r="A61" s="164"/>
      <c r="B61" s="420">
        <v>55.0</v>
      </c>
      <c r="C61" s="421">
        <v>44896.0</v>
      </c>
      <c r="D61" s="422"/>
      <c r="E61" s="422"/>
      <c r="F61" s="422"/>
      <c r="G61" s="420"/>
      <c r="H61" s="422"/>
      <c r="I61" s="420"/>
      <c r="J61" s="423"/>
      <c r="K61" s="164"/>
    </row>
    <row r="62" ht="15.75" customHeight="1">
      <c r="A62" s="164"/>
      <c r="B62" s="420">
        <v>56.0</v>
      </c>
      <c r="C62" s="421">
        <v>44896.0</v>
      </c>
      <c r="D62" s="422"/>
      <c r="E62" s="422"/>
      <c r="F62" s="422"/>
      <c r="G62" s="420"/>
      <c r="H62" s="423"/>
      <c r="I62" s="420"/>
      <c r="J62" s="423"/>
      <c r="K62" s="164"/>
    </row>
    <row r="63" ht="15.75" customHeight="1">
      <c r="A63" s="164"/>
      <c r="B63" s="420">
        <v>57.0</v>
      </c>
      <c r="C63" s="421">
        <v>44896.0</v>
      </c>
      <c r="D63" s="422"/>
      <c r="E63" s="422"/>
      <c r="F63" s="422"/>
      <c r="G63" s="420"/>
      <c r="H63" s="423"/>
      <c r="I63" s="420"/>
      <c r="J63" s="423"/>
      <c r="K63" s="164"/>
    </row>
    <row r="64" ht="15.75" customHeight="1">
      <c r="A64" s="164"/>
      <c r="B64" s="420">
        <v>58.0</v>
      </c>
      <c r="C64" s="421">
        <v>44896.0</v>
      </c>
      <c r="D64" s="422"/>
      <c r="E64" s="422"/>
      <c r="F64" s="422"/>
      <c r="G64" s="420"/>
      <c r="H64" s="423"/>
      <c r="I64" s="420"/>
      <c r="J64" s="423"/>
      <c r="K64" s="164"/>
    </row>
    <row r="65" ht="15.75" customHeight="1">
      <c r="A65" s="164"/>
      <c r="B65" s="420">
        <v>59.0</v>
      </c>
      <c r="C65" s="421">
        <v>44896.0</v>
      </c>
      <c r="D65" s="422"/>
      <c r="E65" s="422"/>
      <c r="F65" s="422"/>
      <c r="G65" s="420"/>
      <c r="H65" s="422"/>
      <c r="I65" s="420"/>
      <c r="J65" s="423"/>
      <c r="K65" s="164"/>
    </row>
    <row r="66" ht="15.75" customHeight="1">
      <c r="A66" s="164"/>
      <c r="B66" s="420">
        <v>60.0</v>
      </c>
      <c r="C66" s="421">
        <v>44896.0</v>
      </c>
      <c r="D66" s="422"/>
      <c r="E66" s="422"/>
      <c r="F66" s="422"/>
      <c r="G66" s="420"/>
      <c r="H66" s="423"/>
      <c r="I66" s="420"/>
      <c r="J66" s="423"/>
      <c r="K66" s="164"/>
    </row>
    <row r="67" ht="15.75" customHeight="1">
      <c r="A67" s="164"/>
      <c r="B67" s="420">
        <v>61.0</v>
      </c>
      <c r="C67" s="421">
        <v>44896.0</v>
      </c>
      <c r="D67" s="422"/>
      <c r="E67" s="422"/>
      <c r="F67" s="422"/>
      <c r="G67" s="420"/>
      <c r="H67" s="422"/>
      <c r="I67" s="420"/>
      <c r="J67" s="423"/>
      <c r="K67" s="164"/>
    </row>
    <row r="68" ht="15.75" customHeight="1">
      <c r="A68" s="164"/>
      <c r="B68" s="420">
        <v>62.0</v>
      </c>
      <c r="C68" s="421">
        <v>44896.0</v>
      </c>
      <c r="D68" s="422"/>
      <c r="E68" s="422"/>
      <c r="F68" s="422"/>
      <c r="G68" s="420"/>
      <c r="H68" s="423"/>
      <c r="I68" s="420"/>
      <c r="J68" s="423"/>
      <c r="K68" s="164"/>
    </row>
    <row r="69" ht="15.75" customHeight="1">
      <c r="A69" s="164"/>
      <c r="B69" s="420">
        <v>63.0</v>
      </c>
      <c r="C69" s="421">
        <v>44896.0</v>
      </c>
      <c r="D69" s="422"/>
      <c r="E69" s="422"/>
      <c r="F69" s="422"/>
      <c r="G69" s="420"/>
      <c r="H69" s="422"/>
      <c r="I69" s="420"/>
      <c r="J69" s="423"/>
      <c r="K69" s="164"/>
    </row>
    <row r="70" ht="15.75" customHeight="1">
      <c r="A70" s="164"/>
      <c r="B70" s="420">
        <v>64.0</v>
      </c>
      <c r="C70" s="421">
        <v>44896.0</v>
      </c>
      <c r="D70" s="422"/>
      <c r="E70" s="422"/>
      <c r="F70" s="422"/>
      <c r="G70" s="420"/>
      <c r="H70" s="423"/>
      <c r="I70" s="420"/>
      <c r="J70" s="423"/>
      <c r="K70" s="164"/>
    </row>
    <row r="71" ht="15.75" customHeight="1">
      <c r="A71" s="164"/>
      <c r="B71" s="420">
        <v>65.0</v>
      </c>
      <c r="C71" s="421">
        <v>44896.0</v>
      </c>
      <c r="D71" s="422"/>
      <c r="E71" s="422"/>
      <c r="F71" s="422"/>
      <c r="G71" s="420"/>
      <c r="H71" s="423"/>
      <c r="I71" s="420"/>
      <c r="J71" s="423"/>
      <c r="K71" s="164"/>
    </row>
    <row r="72" ht="15.75" customHeight="1">
      <c r="A72" s="164"/>
      <c r="B72" s="420">
        <v>66.0</v>
      </c>
      <c r="C72" s="421">
        <v>44896.0</v>
      </c>
      <c r="D72" s="422"/>
      <c r="E72" s="422"/>
      <c r="F72" s="422"/>
      <c r="G72" s="420"/>
      <c r="H72" s="422"/>
      <c r="I72" s="420"/>
      <c r="J72" s="423"/>
      <c r="K72" s="164"/>
    </row>
    <row r="73" ht="15.75" customHeight="1">
      <c r="A73" s="164"/>
      <c r="B73" s="420">
        <v>67.0</v>
      </c>
      <c r="C73" s="421">
        <v>44896.0</v>
      </c>
      <c r="D73" s="422"/>
      <c r="E73" s="422"/>
      <c r="F73" s="422"/>
      <c r="G73" s="420"/>
      <c r="H73" s="423"/>
      <c r="I73" s="420"/>
      <c r="J73" s="423"/>
      <c r="K73" s="164"/>
    </row>
    <row r="74" ht="15.75" customHeight="1">
      <c r="A74" s="164"/>
      <c r="B74" s="420">
        <v>68.0</v>
      </c>
      <c r="C74" s="421">
        <v>44896.0</v>
      </c>
      <c r="D74" s="422"/>
      <c r="E74" s="422"/>
      <c r="F74" s="422"/>
      <c r="G74" s="420"/>
      <c r="H74" s="422"/>
      <c r="I74" s="420"/>
      <c r="J74" s="423"/>
      <c r="K74" s="164"/>
    </row>
    <row r="75" ht="15.75" customHeight="1">
      <c r="A75" s="164"/>
      <c r="B75" s="420">
        <v>69.0</v>
      </c>
      <c r="C75" s="421">
        <v>44896.0</v>
      </c>
      <c r="D75" s="422"/>
      <c r="E75" s="422"/>
      <c r="F75" s="422"/>
      <c r="G75" s="420"/>
      <c r="H75" s="423"/>
      <c r="I75" s="420"/>
      <c r="J75" s="423"/>
      <c r="K75" s="164"/>
    </row>
    <row r="76" ht="15.75" customHeight="1">
      <c r="A76" s="164"/>
      <c r="B76" s="420">
        <v>70.0</v>
      </c>
      <c r="C76" s="421">
        <v>44896.0</v>
      </c>
      <c r="D76" s="422"/>
      <c r="E76" s="422"/>
      <c r="F76" s="422"/>
      <c r="G76" s="420"/>
      <c r="H76" s="422"/>
      <c r="I76" s="420"/>
      <c r="J76" s="423"/>
      <c r="K76" s="164"/>
    </row>
    <row r="77" ht="15.75" customHeight="1">
      <c r="A77" s="164"/>
      <c r="B77" s="420">
        <v>71.0</v>
      </c>
      <c r="C77" s="421">
        <v>44896.0</v>
      </c>
      <c r="D77" s="422"/>
      <c r="E77" s="422"/>
      <c r="F77" s="422"/>
      <c r="G77" s="420"/>
      <c r="H77" s="423"/>
      <c r="I77" s="420"/>
      <c r="J77" s="423"/>
      <c r="K77" s="164"/>
    </row>
    <row r="78" ht="15.75" customHeight="1">
      <c r="A78" s="164"/>
      <c r="B78" s="420">
        <v>72.0</v>
      </c>
      <c r="C78" s="421">
        <v>44896.0</v>
      </c>
      <c r="D78" s="422"/>
      <c r="E78" s="422"/>
      <c r="F78" s="422"/>
      <c r="G78" s="420"/>
      <c r="H78" s="423"/>
      <c r="I78" s="420"/>
      <c r="J78" s="423"/>
      <c r="K78" s="164"/>
    </row>
    <row r="79" ht="15.75" customHeight="1">
      <c r="A79" s="164"/>
      <c r="B79" s="420">
        <v>73.0</v>
      </c>
      <c r="C79" s="421">
        <v>44896.0</v>
      </c>
      <c r="D79" s="422"/>
      <c r="E79" s="422"/>
      <c r="F79" s="422"/>
      <c r="G79" s="420"/>
      <c r="H79" s="423"/>
      <c r="I79" s="420"/>
      <c r="J79" s="423"/>
      <c r="K79" s="164"/>
    </row>
    <row r="80" ht="15.75" customHeight="1">
      <c r="A80" s="164"/>
      <c r="B80" s="420">
        <v>74.0</v>
      </c>
      <c r="C80" s="421">
        <v>44896.0</v>
      </c>
      <c r="D80" s="422"/>
      <c r="E80" s="422"/>
      <c r="F80" s="422"/>
      <c r="G80" s="420"/>
      <c r="H80" s="422"/>
      <c r="I80" s="420"/>
      <c r="J80" s="423"/>
      <c r="K80" s="164"/>
    </row>
    <row r="81" ht="15.75" customHeight="1">
      <c r="A81" s="164"/>
      <c r="B81" s="420">
        <v>75.0</v>
      </c>
      <c r="C81" s="421">
        <v>44896.0</v>
      </c>
      <c r="D81" s="422"/>
      <c r="E81" s="422"/>
      <c r="F81" s="422"/>
      <c r="G81" s="420"/>
      <c r="H81" s="423"/>
      <c r="I81" s="420"/>
      <c r="J81" s="423"/>
      <c r="K81" s="164"/>
    </row>
    <row r="82" ht="15.75" customHeight="1">
      <c r="A82" s="164"/>
      <c r="B82" s="420">
        <v>76.0</v>
      </c>
      <c r="C82" s="421">
        <v>44896.0</v>
      </c>
      <c r="D82" s="422"/>
      <c r="E82" s="422"/>
      <c r="F82" s="422"/>
      <c r="G82" s="420"/>
      <c r="H82" s="422"/>
      <c r="I82" s="420"/>
      <c r="J82" s="423"/>
      <c r="K82" s="164"/>
    </row>
    <row r="83" ht="15.75" customHeight="1">
      <c r="A83" s="164"/>
      <c r="B83" s="420">
        <v>77.0</v>
      </c>
      <c r="C83" s="421">
        <v>44896.0</v>
      </c>
      <c r="D83" s="422"/>
      <c r="E83" s="422"/>
      <c r="F83" s="422"/>
      <c r="G83" s="420"/>
      <c r="H83" s="423"/>
      <c r="I83" s="420"/>
      <c r="J83" s="423"/>
      <c r="K83" s="164"/>
    </row>
    <row r="84" ht="15.75" customHeight="1">
      <c r="A84" s="164"/>
      <c r="B84" s="420">
        <v>78.0</v>
      </c>
      <c r="C84" s="421">
        <v>44896.0</v>
      </c>
      <c r="D84" s="422"/>
      <c r="E84" s="422"/>
      <c r="F84" s="422"/>
      <c r="G84" s="420"/>
      <c r="H84" s="422"/>
      <c r="I84" s="420"/>
      <c r="J84" s="423"/>
      <c r="K84" s="164"/>
    </row>
    <row r="85" ht="15.75" customHeight="1">
      <c r="A85" s="164"/>
      <c r="B85" s="420">
        <v>79.0</v>
      </c>
      <c r="C85" s="421">
        <v>44896.0</v>
      </c>
      <c r="D85" s="422"/>
      <c r="E85" s="422"/>
      <c r="F85" s="422"/>
      <c r="G85" s="420"/>
      <c r="H85" s="423"/>
      <c r="I85" s="420"/>
      <c r="J85" s="423"/>
      <c r="K85" s="164"/>
    </row>
    <row r="86" ht="15.75" customHeight="1">
      <c r="A86" s="164"/>
      <c r="B86" s="420">
        <v>80.0</v>
      </c>
      <c r="C86" s="421">
        <v>44896.0</v>
      </c>
      <c r="D86" s="422"/>
      <c r="E86" s="422"/>
      <c r="F86" s="422"/>
      <c r="G86" s="420"/>
      <c r="H86" s="423"/>
      <c r="I86" s="420"/>
      <c r="J86" s="423"/>
      <c r="K86" s="164"/>
    </row>
    <row r="87" ht="15.75" customHeight="1">
      <c r="A87" s="164"/>
      <c r="B87" s="420">
        <v>81.0</v>
      </c>
      <c r="C87" s="421">
        <v>44896.0</v>
      </c>
      <c r="D87" s="422"/>
      <c r="E87" s="422"/>
      <c r="F87" s="422"/>
      <c r="G87" s="420"/>
      <c r="H87" s="422"/>
      <c r="I87" s="420"/>
      <c r="J87" s="423"/>
      <c r="K87" s="164"/>
    </row>
    <row r="88" ht="15.75" customHeight="1">
      <c r="A88" s="164"/>
      <c r="B88" s="420">
        <v>82.0</v>
      </c>
      <c r="C88" s="421">
        <v>44896.0</v>
      </c>
      <c r="D88" s="422"/>
      <c r="E88" s="422"/>
      <c r="F88" s="422"/>
      <c r="G88" s="420"/>
      <c r="H88" s="423"/>
      <c r="I88" s="420"/>
      <c r="J88" s="423"/>
      <c r="K88" s="164"/>
    </row>
    <row r="89" ht="15.75" customHeight="1">
      <c r="A89" s="164"/>
      <c r="B89" s="420">
        <v>83.0</v>
      </c>
      <c r="C89" s="421">
        <v>44896.0</v>
      </c>
      <c r="D89" s="422"/>
      <c r="E89" s="422"/>
      <c r="F89" s="422"/>
      <c r="G89" s="420"/>
      <c r="H89" s="422"/>
      <c r="I89" s="420"/>
      <c r="J89" s="423"/>
      <c r="K89" s="164"/>
    </row>
    <row r="90" ht="15.75" customHeight="1">
      <c r="A90" s="164"/>
      <c r="B90" s="420">
        <v>84.0</v>
      </c>
      <c r="C90" s="421">
        <v>44896.0</v>
      </c>
      <c r="D90" s="422"/>
      <c r="E90" s="422"/>
      <c r="F90" s="422"/>
      <c r="G90" s="420"/>
      <c r="H90" s="423"/>
      <c r="I90" s="420"/>
      <c r="J90" s="423"/>
      <c r="K90" s="164"/>
    </row>
    <row r="91" ht="15.75" customHeight="1">
      <c r="A91" s="164"/>
      <c r="B91" s="420">
        <v>85.0</v>
      </c>
      <c r="C91" s="421">
        <v>44896.0</v>
      </c>
      <c r="D91" s="422"/>
      <c r="E91" s="422"/>
      <c r="F91" s="422"/>
      <c r="G91" s="420"/>
      <c r="H91" s="422"/>
      <c r="I91" s="420"/>
      <c r="J91" s="423"/>
      <c r="K91" s="164"/>
    </row>
    <row r="92" ht="15.75" customHeight="1">
      <c r="A92" s="164"/>
      <c r="B92" s="420">
        <v>86.0</v>
      </c>
      <c r="C92" s="421">
        <v>44896.0</v>
      </c>
      <c r="D92" s="422"/>
      <c r="E92" s="422"/>
      <c r="F92" s="422"/>
      <c r="G92" s="420"/>
      <c r="H92" s="423"/>
      <c r="I92" s="420"/>
      <c r="J92" s="423"/>
      <c r="K92" s="164"/>
    </row>
    <row r="93" ht="15.75" customHeight="1">
      <c r="A93" s="164"/>
      <c r="B93" s="420">
        <v>87.0</v>
      </c>
      <c r="C93" s="421">
        <v>44896.0</v>
      </c>
      <c r="D93" s="422"/>
      <c r="E93" s="422"/>
      <c r="F93" s="422"/>
      <c r="G93" s="420"/>
      <c r="H93" s="422"/>
      <c r="I93" s="420"/>
      <c r="J93" s="423"/>
      <c r="K93" s="164"/>
    </row>
    <row r="94" ht="15.75" customHeight="1">
      <c r="A94" s="164"/>
      <c r="B94" s="420">
        <v>88.0</v>
      </c>
      <c r="C94" s="421">
        <v>44896.0</v>
      </c>
      <c r="D94" s="422"/>
      <c r="E94" s="422"/>
      <c r="F94" s="422"/>
      <c r="G94" s="420"/>
      <c r="H94" s="423"/>
      <c r="I94" s="420"/>
      <c r="J94" s="423"/>
      <c r="K94" s="164"/>
    </row>
    <row r="95" ht="15.75" customHeight="1">
      <c r="A95" s="164"/>
      <c r="B95" s="420">
        <v>89.0</v>
      </c>
      <c r="C95" s="421">
        <v>44896.0</v>
      </c>
      <c r="D95" s="422"/>
      <c r="E95" s="422"/>
      <c r="F95" s="422"/>
      <c r="G95" s="420"/>
      <c r="H95" s="422"/>
      <c r="I95" s="420"/>
      <c r="J95" s="423"/>
      <c r="K95" s="164"/>
    </row>
    <row r="96" ht="15.75" customHeight="1">
      <c r="A96" s="164"/>
      <c r="B96" s="420">
        <v>90.0</v>
      </c>
      <c r="C96" s="421">
        <v>44896.0</v>
      </c>
      <c r="D96" s="422"/>
      <c r="E96" s="422"/>
      <c r="F96" s="422"/>
      <c r="G96" s="420"/>
      <c r="H96" s="423"/>
      <c r="I96" s="420"/>
      <c r="J96" s="423"/>
      <c r="K96" s="164"/>
    </row>
    <row r="97" ht="15.75" customHeight="1">
      <c r="A97" s="164"/>
      <c r="B97" s="420">
        <v>91.0</v>
      </c>
      <c r="C97" s="421">
        <v>44896.0</v>
      </c>
      <c r="D97" s="422"/>
      <c r="E97" s="422"/>
      <c r="F97" s="422"/>
      <c r="G97" s="420"/>
      <c r="H97" s="423"/>
      <c r="I97" s="420"/>
      <c r="J97" s="423"/>
      <c r="K97" s="164"/>
    </row>
    <row r="98" ht="15.75" customHeight="1">
      <c r="A98" s="164"/>
      <c r="B98" s="420">
        <v>92.0</v>
      </c>
      <c r="C98" s="421">
        <v>44896.0</v>
      </c>
      <c r="D98" s="422"/>
      <c r="E98" s="422"/>
      <c r="F98" s="422"/>
      <c r="G98" s="420"/>
      <c r="H98" s="422"/>
      <c r="I98" s="420"/>
      <c r="J98" s="423"/>
      <c r="K98" s="164"/>
    </row>
    <row r="99" ht="15.75" customHeight="1">
      <c r="A99" s="164"/>
      <c r="B99" s="420">
        <v>93.0</v>
      </c>
      <c r="C99" s="421">
        <v>44896.0</v>
      </c>
      <c r="D99" s="422"/>
      <c r="E99" s="422"/>
      <c r="F99" s="422"/>
      <c r="G99" s="420"/>
      <c r="H99" s="423"/>
      <c r="I99" s="420"/>
      <c r="J99" s="423"/>
      <c r="K99" s="164"/>
    </row>
    <row r="100" ht="15.75" customHeight="1">
      <c r="A100" s="164"/>
      <c r="B100" s="420">
        <v>94.0</v>
      </c>
      <c r="C100" s="421">
        <v>44896.0</v>
      </c>
      <c r="D100" s="422"/>
      <c r="E100" s="422"/>
      <c r="F100" s="422"/>
      <c r="G100" s="420"/>
      <c r="H100" s="422"/>
      <c r="I100" s="420"/>
      <c r="J100" s="423"/>
      <c r="K100" s="164"/>
    </row>
    <row r="101" ht="15.75" customHeight="1">
      <c r="A101" s="164"/>
      <c r="B101" s="420">
        <v>95.0</v>
      </c>
      <c r="C101" s="421">
        <v>44896.0</v>
      </c>
      <c r="D101" s="422"/>
      <c r="E101" s="422"/>
      <c r="F101" s="422"/>
      <c r="G101" s="420"/>
      <c r="H101" s="423"/>
      <c r="I101" s="420"/>
      <c r="J101" s="423"/>
      <c r="K101" s="164"/>
    </row>
    <row r="102" ht="15.75" customHeight="1">
      <c r="A102" s="164"/>
      <c r="B102" s="420">
        <v>96.0</v>
      </c>
      <c r="C102" s="421">
        <v>44896.0</v>
      </c>
      <c r="D102" s="422"/>
      <c r="E102" s="422"/>
      <c r="F102" s="422"/>
      <c r="G102" s="420"/>
      <c r="H102" s="422"/>
      <c r="I102" s="420"/>
      <c r="J102" s="423"/>
      <c r="K102" s="164"/>
    </row>
    <row r="103" ht="15.75" customHeight="1">
      <c r="A103" s="164"/>
      <c r="B103" s="420">
        <v>97.0</v>
      </c>
      <c r="C103" s="421">
        <v>44896.0</v>
      </c>
      <c r="D103" s="422"/>
      <c r="E103" s="422"/>
      <c r="F103" s="422"/>
      <c r="G103" s="420"/>
      <c r="H103" s="423"/>
      <c r="I103" s="420"/>
      <c r="J103" s="423"/>
      <c r="K103" s="164"/>
    </row>
    <row r="104" ht="15.75" customHeight="1">
      <c r="A104" s="164"/>
      <c r="B104" s="420">
        <v>98.0</v>
      </c>
      <c r="C104" s="421">
        <v>44896.0</v>
      </c>
      <c r="D104" s="422"/>
      <c r="E104" s="422"/>
      <c r="F104" s="422"/>
      <c r="G104" s="420"/>
      <c r="H104" s="422"/>
      <c r="I104" s="420"/>
      <c r="J104" s="423"/>
      <c r="K104" s="164"/>
    </row>
    <row r="105" ht="15.75" customHeight="1">
      <c r="A105" s="164"/>
      <c r="B105" s="420">
        <v>99.0</v>
      </c>
      <c r="C105" s="421">
        <v>44896.0</v>
      </c>
      <c r="D105" s="422"/>
      <c r="E105" s="422"/>
      <c r="F105" s="422"/>
      <c r="G105" s="420"/>
      <c r="H105" s="423"/>
      <c r="I105" s="420"/>
      <c r="J105" s="423"/>
      <c r="K105" s="164"/>
    </row>
    <row r="106" ht="15.75" customHeight="1">
      <c r="A106" s="164"/>
      <c r="B106" s="420">
        <v>100.0</v>
      </c>
      <c r="C106" s="421">
        <v>44896.0</v>
      </c>
      <c r="D106" s="422"/>
      <c r="E106" s="422"/>
      <c r="F106" s="422"/>
      <c r="G106" s="420"/>
      <c r="H106" s="423"/>
      <c r="I106" s="420"/>
      <c r="J106" s="423"/>
      <c r="K106" s="164"/>
    </row>
    <row r="107" ht="15.75" customHeight="1">
      <c r="A107" s="164"/>
      <c r="B107" s="415"/>
      <c r="C107" s="415"/>
      <c r="D107" s="415"/>
      <c r="E107" s="415"/>
      <c r="F107" s="291"/>
      <c r="G107" s="415"/>
      <c r="H107" s="291"/>
      <c r="I107" s="415"/>
      <c r="J107" s="164"/>
      <c r="K107" s="164"/>
    </row>
    <row r="108" ht="15.75" customHeight="1">
      <c r="A108" s="164"/>
      <c r="B108" s="415"/>
      <c r="C108" s="415"/>
      <c r="D108" s="415"/>
      <c r="E108" s="415"/>
      <c r="F108" s="291"/>
      <c r="G108" s="415"/>
      <c r="H108" s="291"/>
      <c r="I108" s="415"/>
      <c r="J108" s="164"/>
      <c r="K108" s="164"/>
    </row>
    <row r="109" ht="15.75" customHeight="1">
      <c r="A109" s="164"/>
      <c r="B109" s="415"/>
      <c r="C109" s="415"/>
      <c r="D109" s="415"/>
      <c r="E109" s="415"/>
      <c r="F109" s="291"/>
      <c r="G109" s="415"/>
      <c r="H109" s="291"/>
      <c r="I109" s="415"/>
      <c r="J109" s="164"/>
      <c r="K109" s="164"/>
    </row>
    <row r="110" ht="15.75" customHeight="1">
      <c r="A110" s="164"/>
      <c r="B110" s="415"/>
      <c r="C110" s="415"/>
      <c r="D110" s="415"/>
      <c r="E110" s="415"/>
      <c r="F110" s="291"/>
      <c r="G110" s="415"/>
      <c r="H110" s="291"/>
      <c r="I110" s="415"/>
      <c r="J110" s="164"/>
      <c r="K110" s="164"/>
    </row>
    <row r="111" ht="15.75" customHeight="1">
      <c r="A111" s="164"/>
      <c r="B111" s="415"/>
      <c r="C111" s="415"/>
      <c r="D111" s="415"/>
      <c r="E111" s="415"/>
      <c r="F111" s="291"/>
      <c r="G111" s="415"/>
      <c r="H111" s="291"/>
      <c r="I111" s="415"/>
      <c r="J111" s="164"/>
      <c r="K111" s="164"/>
    </row>
    <row r="112" ht="15.75" customHeight="1">
      <c r="A112" s="164"/>
      <c r="B112" s="415"/>
      <c r="C112" s="415"/>
      <c r="D112" s="415"/>
      <c r="E112" s="415"/>
      <c r="F112" s="291"/>
      <c r="G112" s="415"/>
      <c r="H112" s="291"/>
      <c r="I112" s="415"/>
      <c r="J112" s="164"/>
      <c r="K112" s="164"/>
    </row>
    <row r="113" ht="15.75" customHeight="1">
      <c r="A113" s="164"/>
      <c r="B113" s="415"/>
      <c r="C113" s="415"/>
      <c r="D113" s="415"/>
      <c r="E113" s="415"/>
      <c r="F113" s="291"/>
      <c r="G113" s="415"/>
      <c r="H113" s="291"/>
      <c r="I113" s="415"/>
      <c r="J113" s="164"/>
      <c r="K113" s="164"/>
    </row>
    <row r="114" ht="15.75" customHeight="1">
      <c r="A114" s="164"/>
      <c r="B114" s="415"/>
      <c r="C114" s="415"/>
      <c r="D114" s="415"/>
      <c r="E114" s="415"/>
      <c r="F114" s="291"/>
      <c r="G114" s="415"/>
      <c r="H114" s="291"/>
      <c r="I114" s="415"/>
      <c r="J114" s="164"/>
      <c r="K114" s="164"/>
    </row>
    <row r="115" ht="15.75" customHeight="1">
      <c r="A115" s="164"/>
      <c r="B115" s="415"/>
      <c r="C115" s="415"/>
      <c r="D115" s="415"/>
      <c r="E115" s="415"/>
      <c r="F115" s="291"/>
      <c r="G115" s="415"/>
      <c r="H115" s="291"/>
      <c r="I115" s="415"/>
      <c r="J115" s="164"/>
      <c r="K115" s="164"/>
    </row>
    <row r="116" ht="15.75" customHeight="1">
      <c r="A116" s="164"/>
      <c r="B116" s="415"/>
      <c r="C116" s="415"/>
      <c r="D116" s="415"/>
      <c r="E116" s="415"/>
      <c r="F116" s="291"/>
      <c r="G116" s="415"/>
      <c r="H116" s="291"/>
      <c r="I116" s="415"/>
      <c r="J116" s="164"/>
      <c r="K116" s="164"/>
    </row>
    <row r="117" ht="15.75" customHeight="1">
      <c r="A117" s="164"/>
      <c r="B117" s="415"/>
      <c r="C117" s="415"/>
      <c r="D117" s="415"/>
      <c r="E117" s="415"/>
      <c r="F117" s="291"/>
      <c r="G117" s="415"/>
      <c r="H117" s="291"/>
      <c r="I117" s="415"/>
      <c r="J117" s="164"/>
      <c r="K117" s="164"/>
    </row>
    <row r="118" ht="15.75" customHeight="1">
      <c r="A118" s="164"/>
      <c r="B118" s="415"/>
      <c r="C118" s="415"/>
      <c r="D118" s="415"/>
      <c r="E118" s="415"/>
      <c r="F118" s="291"/>
      <c r="G118" s="415"/>
      <c r="H118" s="291"/>
      <c r="I118" s="415"/>
      <c r="J118" s="164"/>
      <c r="K118" s="164"/>
    </row>
    <row r="119" ht="15.75" customHeight="1">
      <c r="A119" s="164"/>
      <c r="B119" s="415"/>
      <c r="C119" s="415"/>
      <c r="D119" s="415"/>
      <c r="E119" s="415"/>
      <c r="F119" s="291"/>
      <c r="G119" s="415"/>
      <c r="H119" s="291"/>
      <c r="I119" s="415"/>
      <c r="J119" s="164"/>
      <c r="K119" s="164"/>
    </row>
    <row r="120" ht="15.75" customHeight="1">
      <c r="A120" s="164"/>
      <c r="B120" s="415"/>
      <c r="C120" s="415"/>
      <c r="D120" s="415"/>
      <c r="E120" s="415"/>
      <c r="F120" s="291"/>
      <c r="G120" s="415"/>
      <c r="H120" s="291"/>
      <c r="I120" s="415"/>
      <c r="J120" s="164"/>
      <c r="K120" s="164"/>
    </row>
    <row r="121" ht="15.75" customHeight="1">
      <c r="A121" s="164"/>
      <c r="B121" s="415"/>
      <c r="C121" s="415"/>
      <c r="D121" s="415"/>
      <c r="E121" s="415"/>
      <c r="F121" s="291"/>
      <c r="G121" s="415"/>
      <c r="H121" s="291"/>
      <c r="I121" s="415"/>
      <c r="J121" s="164"/>
      <c r="K121" s="164"/>
    </row>
    <row r="122" ht="15.75" customHeight="1">
      <c r="A122" s="164"/>
      <c r="B122" s="415"/>
      <c r="C122" s="415"/>
      <c r="D122" s="415"/>
      <c r="E122" s="415"/>
      <c r="F122" s="291"/>
      <c r="G122" s="415"/>
      <c r="H122" s="291"/>
      <c r="I122" s="415"/>
      <c r="J122" s="164"/>
      <c r="K122" s="164"/>
    </row>
    <row r="123" ht="15.75" customHeight="1">
      <c r="A123" s="164"/>
      <c r="B123" s="415"/>
      <c r="C123" s="415"/>
      <c r="D123" s="415"/>
      <c r="E123" s="415"/>
      <c r="F123" s="291"/>
      <c r="G123" s="415"/>
      <c r="H123" s="291"/>
      <c r="I123" s="415"/>
      <c r="J123" s="164"/>
      <c r="K123" s="164"/>
    </row>
    <row r="124" ht="15.75" customHeight="1">
      <c r="A124" s="164"/>
      <c r="B124" s="415"/>
      <c r="C124" s="415"/>
      <c r="D124" s="415"/>
      <c r="E124" s="415"/>
      <c r="F124" s="291"/>
      <c r="G124" s="415"/>
      <c r="H124" s="291"/>
      <c r="I124" s="415"/>
      <c r="J124" s="164"/>
      <c r="K124" s="164"/>
    </row>
    <row r="125" ht="15.75" customHeight="1">
      <c r="A125" s="164"/>
      <c r="B125" s="415"/>
      <c r="C125" s="415"/>
      <c r="D125" s="415"/>
      <c r="E125" s="415"/>
      <c r="F125" s="291"/>
      <c r="G125" s="415"/>
      <c r="H125" s="291"/>
      <c r="I125" s="415"/>
      <c r="J125" s="164"/>
      <c r="K125" s="164"/>
    </row>
    <row r="126" ht="15.75" customHeight="1">
      <c r="A126" s="164"/>
      <c r="B126" s="415"/>
      <c r="C126" s="415"/>
      <c r="D126" s="415"/>
      <c r="E126" s="415"/>
      <c r="F126" s="291"/>
      <c r="G126" s="415"/>
      <c r="H126" s="291"/>
      <c r="I126" s="415"/>
      <c r="J126" s="164"/>
      <c r="K126" s="164"/>
    </row>
    <row r="127" ht="15.75" customHeight="1">
      <c r="A127" s="164"/>
      <c r="B127" s="415"/>
      <c r="C127" s="415"/>
      <c r="D127" s="415"/>
      <c r="E127" s="415"/>
      <c r="F127" s="291"/>
      <c r="G127" s="415"/>
      <c r="H127" s="291"/>
      <c r="I127" s="415"/>
      <c r="J127" s="164"/>
      <c r="K127" s="164"/>
    </row>
    <row r="128" ht="15.75" customHeight="1">
      <c r="A128" s="164"/>
      <c r="B128" s="415"/>
      <c r="C128" s="415"/>
      <c r="D128" s="415"/>
      <c r="E128" s="415"/>
      <c r="F128" s="291"/>
      <c r="G128" s="415"/>
      <c r="H128" s="291"/>
      <c r="I128" s="415"/>
      <c r="J128" s="164"/>
      <c r="K128" s="164"/>
    </row>
    <row r="129" ht="15.75" customHeight="1">
      <c r="A129" s="164"/>
      <c r="B129" s="415"/>
      <c r="C129" s="415"/>
      <c r="D129" s="415"/>
      <c r="E129" s="415"/>
      <c r="F129" s="291"/>
      <c r="G129" s="415"/>
      <c r="H129" s="291"/>
      <c r="I129" s="415"/>
      <c r="J129" s="164"/>
      <c r="K129" s="164"/>
    </row>
    <row r="130" ht="15.75" customHeight="1">
      <c r="A130" s="164"/>
      <c r="B130" s="415"/>
      <c r="C130" s="415"/>
      <c r="D130" s="415"/>
      <c r="E130" s="415"/>
      <c r="F130" s="291"/>
      <c r="G130" s="415"/>
      <c r="H130" s="291"/>
      <c r="I130" s="415"/>
      <c r="J130" s="164"/>
      <c r="K130" s="164"/>
    </row>
    <row r="131" ht="15.75" customHeight="1">
      <c r="A131" s="164"/>
      <c r="B131" s="415"/>
      <c r="C131" s="415"/>
      <c r="D131" s="415"/>
      <c r="E131" s="415"/>
      <c r="F131" s="291"/>
      <c r="G131" s="415"/>
      <c r="H131" s="291"/>
      <c r="I131" s="415"/>
      <c r="J131" s="164"/>
      <c r="K131" s="164"/>
    </row>
    <row r="132" ht="15.75" customHeight="1">
      <c r="A132" s="164"/>
      <c r="B132" s="415"/>
      <c r="C132" s="415"/>
      <c r="D132" s="415"/>
      <c r="E132" s="415"/>
      <c r="F132" s="291"/>
      <c r="G132" s="415"/>
      <c r="H132" s="291"/>
      <c r="I132" s="415"/>
      <c r="J132" s="164"/>
      <c r="K132" s="164"/>
    </row>
    <row r="133" ht="15.75" customHeight="1">
      <c r="A133" s="164"/>
      <c r="B133" s="415"/>
      <c r="C133" s="415"/>
      <c r="D133" s="415"/>
      <c r="E133" s="415"/>
      <c r="F133" s="291"/>
      <c r="G133" s="415"/>
      <c r="H133" s="291"/>
      <c r="I133" s="415"/>
      <c r="J133" s="164"/>
      <c r="K133" s="164"/>
    </row>
    <row r="134" ht="15.75" customHeight="1">
      <c r="A134" s="164"/>
      <c r="B134" s="415"/>
      <c r="C134" s="415"/>
      <c r="D134" s="415"/>
      <c r="E134" s="415"/>
      <c r="F134" s="291"/>
      <c r="G134" s="415"/>
      <c r="H134" s="291"/>
      <c r="I134" s="415"/>
      <c r="J134" s="164"/>
      <c r="K134" s="164"/>
    </row>
    <row r="135" ht="15.75" customHeight="1">
      <c r="A135" s="164"/>
      <c r="B135" s="415"/>
      <c r="C135" s="415"/>
      <c r="D135" s="415"/>
      <c r="E135" s="415"/>
      <c r="F135" s="291"/>
      <c r="G135" s="415"/>
      <c r="H135" s="291"/>
      <c r="I135" s="415"/>
      <c r="J135" s="164"/>
      <c r="K135" s="164"/>
    </row>
    <row r="136" ht="15.75" customHeight="1">
      <c r="A136" s="164"/>
      <c r="B136" s="415"/>
      <c r="C136" s="415"/>
      <c r="D136" s="415"/>
      <c r="E136" s="415"/>
      <c r="F136" s="291"/>
      <c r="G136" s="415"/>
      <c r="H136" s="291"/>
      <c r="I136" s="415"/>
      <c r="J136" s="164"/>
      <c r="K136" s="164"/>
    </row>
    <row r="137" ht="15.75" customHeight="1">
      <c r="A137" s="164"/>
      <c r="B137" s="415"/>
      <c r="C137" s="415"/>
      <c r="D137" s="415"/>
      <c r="E137" s="415"/>
      <c r="F137" s="291"/>
      <c r="G137" s="415"/>
      <c r="H137" s="291"/>
      <c r="I137" s="415"/>
      <c r="J137" s="164"/>
      <c r="K137" s="164"/>
    </row>
    <row r="138" ht="15.75" customHeight="1">
      <c r="A138" s="164"/>
      <c r="B138" s="415"/>
      <c r="C138" s="415"/>
      <c r="D138" s="415"/>
      <c r="E138" s="415"/>
      <c r="F138" s="291"/>
      <c r="G138" s="415"/>
      <c r="H138" s="291"/>
      <c r="I138" s="415"/>
      <c r="J138" s="164"/>
      <c r="K138" s="164"/>
    </row>
    <row r="139" ht="15.75" customHeight="1">
      <c r="A139" s="164"/>
      <c r="B139" s="415"/>
      <c r="C139" s="415"/>
      <c r="D139" s="415"/>
      <c r="E139" s="415"/>
      <c r="F139" s="291"/>
      <c r="G139" s="415"/>
      <c r="H139" s="291"/>
      <c r="I139" s="415"/>
      <c r="J139" s="164"/>
      <c r="K139" s="164"/>
    </row>
    <row r="140" ht="15.75" customHeight="1">
      <c r="A140" s="164"/>
      <c r="B140" s="415"/>
      <c r="C140" s="415"/>
      <c r="D140" s="415"/>
      <c r="E140" s="415"/>
      <c r="F140" s="291"/>
      <c r="G140" s="415"/>
      <c r="H140" s="291"/>
      <c r="I140" s="415"/>
      <c r="J140" s="164"/>
      <c r="K140" s="164"/>
    </row>
    <row r="141" ht="15.75" customHeight="1">
      <c r="A141" s="164"/>
      <c r="B141" s="415"/>
      <c r="C141" s="415"/>
      <c r="D141" s="415"/>
      <c r="E141" s="415"/>
      <c r="F141" s="291"/>
      <c r="G141" s="415"/>
      <c r="H141" s="291"/>
      <c r="I141" s="415"/>
      <c r="J141" s="164"/>
      <c r="K141" s="164"/>
    </row>
    <row r="142" ht="15.75" customHeight="1">
      <c r="A142" s="164"/>
      <c r="B142" s="415"/>
      <c r="C142" s="415"/>
      <c r="D142" s="415"/>
      <c r="E142" s="415"/>
      <c r="F142" s="291"/>
      <c r="G142" s="415"/>
      <c r="H142" s="291"/>
      <c r="I142" s="415"/>
      <c r="J142" s="164"/>
      <c r="K142" s="164"/>
    </row>
    <row r="143" ht="15.75" customHeight="1">
      <c r="A143" s="164"/>
      <c r="B143" s="415"/>
      <c r="C143" s="415"/>
      <c r="D143" s="415"/>
      <c r="E143" s="415"/>
      <c r="F143" s="291"/>
      <c r="G143" s="415"/>
      <c r="H143" s="291"/>
      <c r="I143" s="415"/>
      <c r="J143" s="164"/>
      <c r="K143" s="164"/>
    </row>
    <row r="144" ht="15.75" customHeight="1">
      <c r="A144" s="164"/>
      <c r="B144" s="415"/>
      <c r="C144" s="415"/>
      <c r="D144" s="415"/>
      <c r="E144" s="415"/>
      <c r="F144" s="291"/>
      <c r="G144" s="415"/>
      <c r="H144" s="291"/>
      <c r="I144" s="415"/>
      <c r="J144" s="164"/>
      <c r="K144" s="164"/>
    </row>
    <row r="145" ht="15.75" customHeight="1">
      <c r="A145" s="164"/>
      <c r="B145" s="415"/>
      <c r="C145" s="415"/>
      <c r="D145" s="415"/>
      <c r="E145" s="415"/>
      <c r="F145" s="291"/>
      <c r="G145" s="415"/>
      <c r="H145" s="291"/>
      <c r="I145" s="415"/>
      <c r="J145" s="164"/>
      <c r="K145" s="164"/>
    </row>
    <row r="146" ht="15.75" customHeight="1">
      <c r="A146" s="164"/>
      <c r="B146" s="415"/>
      <c r="C146" s="415"/>
      <c r="D146" s="415"/>
      <c r="E146" s="415"/>
      <c r="F146" s="291"/>
      <c r="G146" s="415"/>
      <c r="H146" s="291"/>
      <c r="I146" s="415"/>
      <c r="J146" s="164"/>
      <c r="K146" s="164"/>
    </row>
    <row r="147" ht="15.75" customHeight="1">
      <c r="A147" s="164"/>
      <c r="B147" s="415"/>
      <c r="C147" s="415"/>
      <c r="D147" s="415"/>
      <c r="E147" s="415"/>
      <c r="F147" s="291"/>
      <c r="G147" s="415"/>
      <c r="H147" s="291"/>
      <c r="I147" s="415"/>
      <c r="J147" s="164"/>
      <c r="K147" s="164"/>
    </row>
    <row r="148" ht="15.75" customHeight="1">
      <c r="A148" s="164"/>
      <c r="B148" s="415"/>
      <c r="C148" s="415"/>
      <c r="D148" s="415"/>
      <c r="E148" s="415"/>
      <c r="F148" s="291"/>
      <c r="G148" s="415"/>
      <c r="H148" s="291"/>
      <c r="I148" s="415"/>
      <c r="J148" s="164"/>
      <c r="K148" s="164"/>
    </row>
    <row r="149" ht="15.75" customHeight="1">
      <c r="A149" s="164"/>
      <c r="B149" s="415"/>
      <c r="C149" s="415"/>
      <c r="D149" s="415"/>
      <c r="E149" s="415"/>
      <c r="F149" s="291"/>
      <c r="G149" s="415"/>
      <c r="H149" s="291"/>
      <c r="I149" s="415"/>
      <c r="J149" s="164"/>
      <c r="K149" s="164"/>
    </row>
    <row r="150" ht="15.75" customHeight="1">
      <c r="A150" s="164"/>
      <c r="B150" s="415"/>
      <c r="C150" s="415"/>
      <c r="D150" s="415"/>
      <c r="E150" s="415"/>
      <c r="F150" s="291"/>
      <c r="G150" s="415"/>
      <c r="H150" s="291"/>
      <c r="I150" s="415"/>
      <c r="J150" s="164"/>
      <c r="K150" s="164"/>
    </row>
    <row r="151" ht="15.75" customHeight="1">
      <c r="A151" s="164"/>
      <c r="B151" s="415"/>
      <c r="C151" s="415"/>
      <c r="D151" s="415"/>
      <c r="E151" s="415"/>
      <c r="F151" s="291"/>
      <c r="G151" s="415"/>
      <c r="H151" s="291"/>
      <c r="I151" s="415"/>
      <c r="J151" s="164"/>
      <c r="K151" s="164"/>
    </row>
    <row r="152" ht="15.75" customHeight="1">
      <c r="A152" s="164"/>
      <c r="B152" s="415"/>
      <c r="C152" s="415"/>
      <c r="D152" s="415"/>
      <c r="E152" s="415"/>
      <c r="F152" s="291"/>
      <c r="G152" s="415"/>
      <c r="H152" s="291"/>
      <c r="I152" s="415"/>
      <c r="J152" s="164"/>
      <c r="K152" s="164"/>
    </row>
    <row r="153" ht="15.75" customHeight="1">
      <c r="A153" s="164"/>
      <c r="B153" s="415"/>
      <c r="C153" s="415"/>
      <c r="D153" s="415"/>
      <c r="E153" s="415"/>
      <c r="F153" s="291"/>
      <c r="G153" s="415"/>
      <c r="H153" s="291"/>
      <c r="I153" s="415"/>
      <c r="J153" s="164"/>
      <c r="K153" s="164"/>
    </row>
    <row r="154" ht="15.75" customHeight="1">
      <c r="A154" s="164"/>
      <c r="B154" s="415"/>
      <c r="C154" s="415"/>
      <c r="D154" s="415"/>
      <c r="E154" s="415"/>
      <c r="F154" s="291"/>
      <c r="G154" s="415"/>
      <c r="H154" s="291"/>
      <c r="I154" s="415"/>
      <c r="J154" s="164"/>
      <c r="K154" s="164"/>
    </row>
    <row r="155" ht="15.75" customHeight="1">
      <c r="A155" s="164"/>
      <c r="B155" s="415"/>
      <c r="C155" s="415"/>
      <c r="D155" s="415"/>
      <c r="E155" s="415"/>
      <c r="F155" s="291"/>
      <c r="G155" s="415"/>
      <c r="H155" s="291"/>
      <c r="I155" s="415"/>
      <c r="J155" s="164"/>
      <c r="K155" s="164"/>
    </row>
    <row r="156" ht="15.75" customHeight="1">
      <c r="A156" s="164"/>
      <c r="B156" s="415"/>
      <c r="C156" s="415"/>
      <c r="D156" s="415"/>
      <c r="E156" s="415"/>
      <c r="F156" s="291"/>
      <c r="G156" s="415"/>
      <c r="H156" s="291"/>
      <c r="I156" s="415"/>
      <c r="J156" s="164"/>
      <c r="K156" s="164"/>
    </row>
    <row r="157" ht="15.75" customHeight="1">
      <c r="A157" s="164"/>
      <c r="B157" s="415"/>
      <c r="C157" s="415"/>
      <c r="D157" s="415"/>
      <c r="E157" s="415"/>
      <c r="F157" s="291"/>
      <c r="G157" s="415"/>
      <c r="H157" s="291"/>
      <c r="I157" s="415"/>
      <c r="J157" s="164"/>
      <c r="K157" s="164"/>
    </row>
    <row r="158" ht="15.75" customHeight="1">
      <c r="A158" s="164"/>
      <c r="B158" s="415"/>
      <c r="C158" s="415"/>
      <c r="D158" s="415"/>
      <c r="E158" s="415"/>
      <c r="F158" s="291"/>
      <c r="G158" s="415"/>
      <c r="H158" s="291"/>
      <c r="I158" s="415"/>
      <c r="J158" s="164"/>
      <c r="K158" s="164"/>
    </row>
    <row r="159" ht="15.75" customHeight="1">
      <c r="A159" s="164"/>
      <c r="B159" s="415"/>
      <c r="C159" s="415"/>
      <c r="D159" s="415"/>
      <c r="E159" s="415"/>
      <c r="F159" s="291"/>
      <c r="G159" s="415"/>
      <c r="H159" s="291"/>
      <c r="I159" s="415"/>
      <c r="J159" s="164"/>
      <c r="K159" s="164"/>
    </row>
    <row r="160" ht="15.75" customHeight="1">
      <c r="A160" s="164"/>
      <c r="B160" s="415"/>
      <c r="C160" s="415"/>
      <c r="D160" s="415"/>
      <c r="E160" s="415"/>
      <c r="F160" s="291"/>
      <c r="G160" s="415"/>
      <c r="H160" s="291"/>
      <c r="I160" s="415"/>
      <c r="J160" s="164"/>
      <c r="K160" s="164"/>
    </row>
    <row r="161" ht="15.75" customHeight="1">
      <c r="A161" s="164"/>
      <c r="B161" s="415"/>
      <c r="C161" s="415"/>
      <c r="D161" s="415"/>
      <c r="E161" s="415"/>
      <c r="F161" s="291"/>
      <c r="G161" s="415"/>
      <c r="H161" s="291"/>
      <c r="I161" s="415"/>
      <c r="J161" s="164"/>
      <c r="K161" s="164"/>
    </row>
    <row r="162" ht="15.75" customHeight="1">
      <c r="A162" s="164"/>
      <c r="B162" s="415"/>
      <c r="C162" s="415"/>
      <c r="D162" s="415"/>
      <c r="E162" s="415"/>
      <c r="F162" s="291"/>
      <c r="G162" s="415"/>
      <c r="H162" s="291"/>
      <c r="I162" s="415"/>
      <c r="J162" s="164"/>
      <c r="K162" s="164"/>
    </row>
    <row r="163" ht="15.75" customHeight="1">
      <c r="A163" s="164"/>
      <c r="B163" s="415"/>
      <c r="C163" s="415"/>
      <c r="D163" s="415"/>
      <c r="E163" s="415"/>
      <c r="F163" s="291"/>
      <c r="G163" s="415"/>
      <c r="H163" s="291"/>
      <c r="I163" s="415"/>
      <c r="J163" s="164"/>
      <c r="K163" s="164"/>
    </row>
    <row r="164" ht="15.75" customHeight="1">
      <c r="A164" s="164"/>
      <c r="B164" s="415"/>
      <c r="C164" s="415"/>
      <c r="D164" s="415"/>
      <c r="E164" s="415"/>
      <c r="F164" s="291"/>
      <c r="G164" s="415"/>
      <c r="H164" s="291"/>
      <c r="I164" s="415"/>
      <c r="J164" s="164"/>
      <c r="K164" s="164"/>
    </row>
    <row r="165" ht="15.75" customHeight="1">
      <c r="A165" s="164"/>
      <c r="B165" s="415"/>
      <c r="C165" s="415"/>
      <c r="D165" s="415"/>
      <c r="E165" s="415"/>
      <c r="F165" s="291"/>
      <c r="G165" s="415"/>
      <c r="H165" s="291"/>
      <c r="I165" s="415"/>
      <c r="J165" s="164"/>
      <c r="K165" s="164"/>
    </row>
    <row r="166" ht="15.75" customHeight="1">
      <c r="A166" s="164"/>
      <c r="B166" s="415"/>
      <c r="C166" s="415"/>
      <c r="D166" s="415"/>
      <c r="E166" s="415"/>
      <c r="F166" s="291"/>
      <c r="G166" s="415"/>
      <c r="H166" s="291"/>
      <c r="I166" s="415"/>
      <c r="J166" s="164"/>
      <c r="K166" s="164"/>
    </row>
    <row r="167" ht="15.75" customHeight="1">
      <c r="A167" s="164"/>
      <c r="B167" s="415"/>
      <c r="C167" s="415"/>
      <c r="D167" s="415"/>
      <c r="E167" s="415"/>
      <c r="F167" s="291"/>
      <c r="G167" s="415"/>
      <c r="H167" s="291"/>
      <c r="I167" s="415"/>
      <c r="J167" s="164"/>
      <c r="K167" s="164"/>
    </row>
    <row r="168" ht="15.75" customHeight="1">
      <c r="A168" s="164"/>
      <c r="B168" s="415"/>
      <c r="C168" s="415"/>
      <c r="D168" s="415"/>
      <c r="E168" s="415"/>
      <c r="F168" s="291"/>
      <c r="G168" s="415"/>
      <c r="H168" s="291"/>
      <c r="I168" s="415"/>
      <c r="J168" s="164"/>
      <c r="K168" s="164"/>
    </row>
    <row r="169" ht="15.75" customHeight="1">
      <c r="A169" s="164"/>
      <c r="B169" s="415"/>
      <c r="C169" s="415"/>
      <c r="D169" s="415"/>
      <c r="E169" s="415"/>
      <c r="F169" s="291"/>
      <c r="G169" s="415"/>
      <c r="H169" s="291"/>
      <c r="I169" s="415"/>
      <c r="J169" s="164"/>
      <c r="K169" s="164"/>
    </row>
    <row r="170" ht="15.75" customHeight="1">
      <c r="A170" s="164"/>
      <c r="B170" s="415"/>
      <c r="C170" s="415"/>
      <c r="D170" s="415"/>
      <c r="E170" s="415"/>
      <c r="F170" s="291"/>
      <c r="G170" s="415"/>
      <c r="H170" s="291"/>
      <c r="I170" s="415"/>
      <c r="J170" s="164"/>
      <c r="K170" s="164"/>
    </row>
    <row r="171" ht="15.75" customHeight="1">
      <c r="A171" s="164"/>
      <c r="B171" s="415"/>
      <c r="C171" s="415"/>
      <c r="D171" s="415"/>
      <c r="E171" s="415"/>
      <c r="F171" s="291"/>
      <c r="G171" s="415"/>
      <c r="H171" s="291"/>
      <c r="I171" s="415"/>
      <c r="J171" s="164"/>
      <c r="K171" s="164"/>
    </row>
    <row r="172" ht="15.75" customHeight="1">
      <c r="A172" s="164"/>
      <c r="B172" s="415"/>
      <c r="C172" s="415"/>
      <c r="D172" s="415"/>
      <c r="E172" s="415"/>
      <c r="F172" s="291"/>
      <c r="G172" s="415"/>
      <c r="H172" s="291"/>
      <c r="I172" s="415"/>
      <c r="J172" s="164"/>
      <c r="K172" s="164"/>
    </row>
    <row r="173" ht="15.75" customHeight="1">
      <c r="A173" s="164"/>
      <c r="B173" s="415"/>
      <c r="C173" s="415"/>
      <c r="D173" s="415"/>
      <c r="E173" s="415"/>
      <c r="F173" s="291"/>
      <c r="G173" s="415"/>
      <c r="H173" s="291"/>
      <c r="I173" s="415"/>
      <c r="J173" s="164"/>
      <c r="K173" s="164"/>
    </row>
    <row r="174" ht="15.75" customHeight="1">
      <c r="A174" s="164"/>
      <c r="B174" s="415"/>
      <c r="C174" s="415"/>
      <c r="D174" s="415"/>
      <c r="E174" s="415"/>
      <c r="F174" s="291"/>
      <c r="G174" s="415"/>
      <c r="H174" s="291"/>
      <c r="I174" s="415"/>
      <c r="J174" s="164"/>
      <c r="K174" s="164"/>
    </row>
    <row r="175" ht="15.75" customHeight="1">
      <c r="A175" s="164"/>
      <c r="B175" s="415"/>
      <c r="C175" s="415"/>
      <c r="D175" s="415"/>
      <c r="E175" s="415"/>
      <c r="F175" s="291"/>
      <c r="G175" s="415"/>
      <c r="H175" s="291"/>
      <c r="I175" s="415"/>
      <c r="J175" s="164"/>
      <c r="K175" s="164"/>
    </row>
    <row r="176" ht="15.75" customHeight="1">
      <c r="A176" s="164"/>
      <c r="B176" s="415"/>
      <c r="C176" s="415"/>
      <c r="D176" s="415"/>
      <c r="E176" s="415"/>
      <c r="F176" s="291"/>
      <c r="G176" s="415"/>
      <c r="H176" s="291"/>
      <c r="I176" s="415"/>
      <c r="J176" s="164"/>
      <c r="K176" s="164"/>
    </row>
    <row r="177" ht="15.75" customHeight="1">
      <c r="A177" s="164"/>
      <c r="B177" s="415"/>
      <c r="C177" s="415"/>
      <c r="D177" s="415"/>
      <c r="E177" s="415"/>
      <c r="F177" s="291"/>
      <c r="G177" s="415"/>
      <c r="H177" s="291"/>
      <c r="I177" s="415"/>
      <c r="J177" s="164"/>
      <c r="K177" s="164"/>
    </row>
    <row r="178" ht="15.75" customHeight="1">
      <c r="A178" s="164"/>
      <c r="B178" s="415"/>
      <c r="C178" s="415"/>
      <c r="D178" s="415"/>
      <c r="E178" s="415"/>
      <c r="F178" s="291"/>
      <c r="G178" s="415"/>
      <c r="H178" s="291"/>
      <c r="I178" s="415"/>
      <c r="J178" s="164"/>
      <c r="K178" s="164"/>
    </row>
    <row r="179" ht="15.75" customHeight="1">
      <c r="A179" s="164"/>
      <c r="B179" s="415"/>
      <c r="C179" s="415"/>
      <c r="D179" s="415"/>
      <c r="E179" s="415"/>
      <c r="F179" s="291"/>
      <c r="G179" s="415"/>
      <c r="H179" s="291"/>
      <c r="I179" s="415"/>
      <c r="J179" s="164"/>
      <c r="K179" s="164"/>
    </row>
    <row r="180" ht="15.75" customHeight="1">
      <c r="A180" s="164"/>
      <c r="B180" s="415"/>
      <c r="C180" s="415"/>
      <c r="D180" s="415"/>
      <c r="E180" s="415"/>
      <c r="F180" s="291"/>
      <c r="G180" s="415"/>
      <c r="H180" s="291"/>
      <c r="I180" s="415"/>
      <c r="J180" s="164"/>
      <c r="K180" s="164"/>
    </row>
    <row r="181" ht="15.75" customHeight="1">
      <c r="A181" s="164"/>
      <c r="B181" s="415"/>
      <c r="C181" s="415"/>
      <c r="D181" s="415"/>
      <c r="E181" s="415"/>
      <c r="F181" s="291"/>
      <c r="G181" s="415"/>
      <c r="H181" s="291"/>
      <c r="I181" s="415"/>
      <c r="J181" s="164"/>
      <c r="K181" s="164"/>
    </row>
    <row r="182" ht="15.75" customHeight="1">
      <c r="A182" s="164"/>
      <c r="B182" s="415"/>
      <c r="C182" s="415"/>
      <c r="D182" s="415"/>
      <c r="E182" s="415"/>
      <c r="F182" s="291"/>
      <c r="G182" s="415"/>
      <c r="H182" s="291"/>
      <c r="I182" s="415"/>
      <c r="J182" s="164"/>
      <c r="K182" s="164"/>
    </row>
    <row r="183" ht="15.75" customHeight="1">
      <c r="A183" s="164"/>
      <c r="B183" s="415"/>
      <c r="C183" s="415"/>
      <c r="D183" s="415"/>
      <c r="E183" s="415"/>
      <c r="F183" s="291"/>
      <c r="G183" s="415"/>
      <c r="H183" s="291"/>
      <c r="I183" s="415"/>
      <c r="J183" s="164"/>
      <c r="K183" s="164"/>
    </row>
    <row r="184" ht="15.75" customHeight="1">
      <c r="A184" s="164"/>
      <c r="B184" s="415"/>
      <c r="C184" s="415"/>
      <c r="D184" s="415"/>
      <c r="E184" s="415"/>
      <c r="F184" s="291"/>
      <c r="G184" s="415"/>
      <c r="H184" s="291"/>
      <c r="I184" s="415"/>
      <c r="J184" s="164"/>
      <c r="K184" s="164"/>
    </row>
    <row r="185" ht="15.75" customHeight="1">
      <c r="A185" s="164"/>
      <c r="B185" s="415"/>
      <c r="C185" s="415"/>
      <c r="D185" s="415"/>
      <c r="E185" s="415"/>
      <c r="F185" s="291"/>
      <c r="G185" s="415"/>
      <c r="H185" s="291"/>
      <c r="I185" s="415"/>
      <c r="J185" s="164"/>
      <c r="K185" s="164"/>
    </row>
    <row r="186" ht="15.75" customHeight="1">
      <c r="A186" s="164"/>
      <c r="B186" s="415"/>
      <c r="C186" s="415"/>
      <c r="D186" s="415"/>
      <c r="E186" s="415"/>
      <c r="F186" s="291"/>
      <c r="G186" s="415"/>
      <c r="H186" s="291"/>
      <c r="I186" s="415"/>
      <c r="J186" s="164"/>
      <c r="K186" s="164"/>
    </row>
    <row r="187" ht="15.75" customHeight="1">
      <c r="A187" s="164"/>
      <c r="B187" s="415"/>
      <c r="C187" s="415"/>
      <c r="D187" s="415"/>
      <c r="E187" s="415"/>
      <c r="F187" s="291"/>
      <c r="G187" s="415"/>
      <c r="H187" s="291"/>
      <c r="I187" s="415"/>
      <c r="J187" s="164"/>
      <c r="K187" s="164"/>
    </row>
    <row r="188" ht="15.75" customHeight="1">
      <c r="A188" s="164"/>
      <c r="B188" s="415"/>
      <c r="C188" s="415"/>
      <c r="D188" s="415"/>
      <c r="E188" s="415"/>
      <c r="F188" s="291"/>
      <c r="G188" s="415"/>
      <c r="H188" s="291"/>
      <c r="I188" s="415"/>
      <c r="J188" s="164"/>
      <c r="K188" s="164"/>
    </row>
    <row r="189" ht="15.75" customHeight="1">
      <c r="A189" s="164"/>
      <c r="B189" s="415"/>
      <c r="C189" s="415"/>
      <c r="D189" s="415"/>
      <c r="E189" s="415"/>
      <c r="F189" s="291"/>
      <c r="G189" s="415"/>
      <c r="H189" s="291"/>
      <c r="I189" s="415"/>
      <c r="J189" s="164"/>
      <c r="K189" s="164"/>
    </row>
    <row r="190" ht="15.75" customHeight="1">
      <c r="A190" s="164"/>
      <c r="B190" s="415"/>
      <c r="C190" s="415"/>
      <c r="D190" s="415"/>
      <c r="E190" s="415"/>
      <c r="F190" s="291"/>
      <c r="G190" s="415"/>
      <c r="H190" s="291"/>
      <c r="I190" s="415"/>
      <c r="J190" s="164"/>
      <c r="K190" s="164"/>
    </row>
    <row r="191" ht="15.75" customHeight="1">
      <c r="A191" s="164"/>
      <c r="B191" s="415"/>
      <c r="C191" s="415"/>
      <c r="D191" s="415"/>
      <c r="E191" s="415"/>
      <c r="F191" s="291"/>
      <c r="G191" s="415"/>
      <c r="H191" s="291"/>
      <c r="I191" s="415"/>
      <c r="J191" s="164"/>
      <c r="K191" s="164"/>
    </row>
    <row r="192" ht="15.75" customHeight="1">
      <c r="A192" s="164"/>
      <c r="B192" s="415"/>
      <c r="C192" s="415"/>
      <c r="D192" s="415"/>
      <c r="E192" s="415"/>
      <c r="F192" s="291"/>
      <c r="G192" s="415"/>
      <c r="H192" s="291"/>
      <c r="I192" s="415"/>
      <c r="J192" s="164"/>
      <c r="K192" s="164"/>
    </row>
    <row r="193" ht="15.75" customHeight="1">
      <c r="A193" s="164"/>
      <c r="B193" s="415"/>
      <c r="C193" s="415"/>
      <c r="D193" s="415"/>
      <c r="E193" s="415"/>
      <c r="F193" s="291"/>
      <c r="G193" s="415"/>
      <c r="H193" s="291"/>
      <c r="I193" s="415"/>
      <c r="J193" s="164"/>
      <c r="K193" s="164"/>
    </row>
    <row r="194" ht="15.75" customHeight="1">
      <c r="A194" s="164"/>
      <c r="B194" s="415"/>
      <c r="C194" s="415"/>
      <c r="D194" s="415"/>
      <c r="E194" s="415"/>
      <c r="F194" s="291"/>
      <c r="G194" s="415"/>
      <c r="H194" s="291"/>
      <c r="I194" s="415"/>
      <c r="J194" s="164"/>
      <c r="K194" s="164"/>
    </row>
    <row r="195" ht="15.75" customHeight="1">
      <c r="A195" s="164"/>
      <c r="B195" s="415"/>
      <c r="C195" s="415"/>
      <c r="D195" s="415"/>
      <c r="E195" s="415"/>
      <c r="F195" s="291"/>
      <c r="G195" s="415"/>
      <c r="H195" s="291"/>
      <c r="I195" s="415"/>
      <c r="J195" s="164"/>
      <c r="K195" s="164"/>
    </row>
    <row r="196" ht="15.75" customHeight="1">
      <c r="A196" s="164"/>
      <c r="B196" s="415"/>
      <c r="C196" s="415"/>
      <c r="D196" s="415"/>
      <c r="E196" s="415"/>
      <c r="F196" s="291"/>
      <c r="G196" s="415"/>
      <c r="H196" s="291"/>
      <c r="I196" s="415"/>
      <c r="J196" s="164"/>
      <c r="K196" s="164"/>
    </row>
    <row r="197" ht="15.75" customHeight="1">
      <c r="A197" s="164"/>
      <c r="B197" s="415"/>
      <c r="C197" s="415"/>
      <c r="D197" s="415"/>
      <c r="E197" s="415"/>
      <c r="F197" s="291"/>
      <c r="G197" s="415"/>
      <c r="H197" s="291"/>
      <c r="I197" s="415"/>
      <c r="J197" s="164"/>
      <c r="K197" s="164"/>
    </row>
    <row r="198" ht="15.75" customHeight="1">
      <c r="A198" s="164"/>
      <c r="B198" s="415"/>
      <c r="C198" s="415"/>
      <c r="D198" s="415"/>
      <c r="E198" s="415"/>
      <c r="F198" s="291"/>
      <c r="G198" s="415"/>
      <c r="H198" s="291"/>
      <c r="I198" s="415"/>
      <c r="J198" s="164"/>
      <c r="K198" s="164"/>
    </row>
    <row r="199" ht="15.75" customHeight="1">
      <c r="A199" s="164"/>
      <c r="B199" s="415"/>
      <c r="C199" s="415"/>
      <c r="D199" s="415"/>
      <c r="E199" s="415"/>
      <c r="F199" s="291"/>
      <c r="G199" s="415"/>
      <c r="H199" s="291"/>
      <c r="I199" s="415"/>
      <c r="J199" s="164"/>
      <c r="K199" s="164"/>
    </row>
    <row r="200" ht="15.75" customHeight="1">
      <c r="A200" s="164"/>
      <c r="B200" s="415"/>
      <c r="C200" s="415"/>
      <c r="D200" s="415"/>
      <c r="E200" s="415"/>
      <c r="F200" s="291"/>
      <c r="G200" s="415"/>
      <c r="H200" s="291"/>
      <c r="I200" s="415"/>
      <c r="J200" s="164"/>
      <c r="K200" s="164"/>
    </row>
    <row r="201" ht="15.75" customHeight="1">
      <c r="A201" s="164"/>
      <c r="B201" s="415"/>
      <c r="C201" s="415"/>
      <c r="D201" s="415"/>
      <c r="E201" s="415"/>
      <c r="F201" s="291"/>
      <c r="G201" s="415"/>
      <c r="H201" s="291"/>
      <c r="I201" s="415"/>
      <c r="J201" s="164"/>
      <c r="K201" s="164"/>
    </row>
    <row r="202" ht="15.75" customHeight="1">
      <c r="A202" s="164"/>
      <c r="B202" s="415"/>
      <c r="C202" s="415"/>
      <c r="D202" s="415"/>
      <c r="E202" s="415"/>
      <c r="F202" s="291"/>
      <c r="G202" s="415"/>
      <c r="H202" s="291"/>
      <c r="I202" s="415"/>
      <c r="J202" s="164"/>
      <c r="K202" s="164"/>
    </row>
    <row r="203" ht="15.75" customHeight="1">
      <c r="A203" s="164"/>
      <c r="B203" s="415"/>
      <c r="C203" s="415"/>
      <c r="D203" s="415"/>
      <c r="E203" s="415"/>
      <c r="F203" s="291"/>
      <c r="G203" s="415"/>
      <c r="H203" s="291"/>
      <c r="I203" s="415"/>
      <c r="J203" s="164"/>
      <c r="K203" s="164"/>
    </row>
    <row r="204" ht="15.75" customHeight="1">
      <c r="A204" s="164"/>
      <c r="B204" s="415"/>
      <c r="C204" s="415"/>
      <c r="D204" s="415"/>
      <c r="E204" s="415"/>
      <c r="F204" s="291"/>
      <c r="G204" s="415"/>
      <c r="H204" s="291"/>
      <c r="I204" s="415"/>
      <c r="J204" s="164"/>
      <c r="K204" s="164"/>
    </row>
    <row r="205" ht="15.75" customHeight="1">
      <c r="A205" s="164"/>
      <c r="B205" s="415"/>
      <c r="C205" s="415"/>
      <c r="D205" s="415"/>
      <c r="E205" s="415"/>
      <c r="F205" s="291"/>
      <c r="G205" s="415"/>
      <c r="H205" s="291"/>
      <c r="I205" s="415"/>
      <c r="J205" s="164"/>
      <c r="K205" s="164"/>
    </row>
    <row r="206" ht="15.75" customHeight="1">
      <c r="A206" s="164"/>
      <c r="B206" s="415"/>
      <c r="C206" s="415"/>
      <c r="D206" s="415"/>
      <c r="E206" s="415"/>
      <c r="F206" s="291"/>
      <c r="G206" s="415"/>
      <c r="H206" s="291"/>
      <c r="I206" s="415"/>
      <c r="J206" s="164"/>
      <c r="K206" s="164"/>
    </row>
    <row r="207" ht="15.75" customHeight="1">
      <c r="A207" s="164"/>
      <c r="B207" s="415"/>
      <c r="C207" s="415"/>
      <c r="D207" s="415"/>
      <c r="E207" s="415"/>
      <c r="F207" s="291"/>
      <c r="G207" s="415"/>
      <c r="H207" s="291"/>
      <c r="I207" s="415"/>
      <c r="J207" s="164"/>
      <c r="K207" s="164"/>
    </row>
    <row r="208" ht="15.75" customHeight="1">
      <c r="A208" s="164"/>
      <c r="B208" s="415"/>
      <c r="C208" s="415"/>
      <c r="D208" s="415"/>
      <c r="E208" s="415"/>
      <c r="F208" s="291"/>
      <c r="G208" s="415"/>
      <c r="H208" s="291"/>
      <c r="I208" s="415"/>
      <c r="J208" s="164"/>
      <c r="K208" s="164"/>
    </row>
    <row r="209" ht="15.75" customHeight="1">
      <c r="A209" s="164"/>
      <c r="B209" s="415"/>
      <c r="C209" s="415"/>
      <c r="D209" s="415"/>
      <c r="E209" s="415"/>
      <c r="F209" s="291"/>
      <c r="G209" s="415"/>
      <c r="H209" s="291"/>
      <c r="I209" s="415"/>
      <c r="J209" s="164"/>
      <c r="K209" s="164"/>
    </row>
    <row r="210" ht="15.75" customHeight="1">
      <c r="A210" s="164"/>
      <c r="B210" s="415"/>
      <c r="C210" s="415"/>
      <c r="D210" s="415"/>
      <c r="E210" s="415"/>
      <c r="F210" s="291"/>
      <c r="G210" s="415"/>
      <c r="H210" s="291"/>
      <c r="I210" s="415"/>
      <c r="J210" s="164"/>
      <c r="K210" s="164"/>
    </row>
    <row r="211" ht="15.75" customHeight="1">
      <c r="A211" s="164"/>
      <c r="B211" s="415"/>
      <c r="C211" s="415"/>
      <c r="D211" s="415"/>
      <c r="E211" s="415"/>
      <c r="F211" s="291"/>
      <c r="G211" s="415"/>
      <c r="H211" s="291"/>
      <c r="I211" s="415"/>
      <c r="J211" s="164"/>
      <c r="K211" s="164"/>
    </row>
    <row r="212" ht="15.75" customHeight="1">
      <c r="A212" s="164"/>
      <c r="B212" s="415"/>
      <c r="C212" s="415"/>
      <c r="D212" s="415"/>
      <c r="E212" s="415"/>
      <c r="F212" s="291"/>
      <c r="G212" s="415"/>
      <c r="H212" s="291"/>
      <c r="I212" s="415"/>
      <c r="J212" s="164"/>
      <c r="K212" s="164"/>
    </row>
    <row r="213" ht="15.75" customHeight="1">
      <c r="A213" s="164"/>
      <c r="B213" s="415"/>
      <c r="C213" s="415"/>
      <c r="D213" s="415"/>
      <c r="E213" s="415"/>
      <c r="F213" s="291"/>
      <c r="G213" s="415"/>
      <c r="H213" s="291"/>
      <c r="I213" s="415"/>
      <c r="J213" s="164"/>
      <c r="K213" s="164"/>
    </row>
    <row r="214" ht="15.75" customHeight="1">
      <c r="A214" s="164"/>
      <c r="B214" s="415"/>
      <c r="C214" s="415"/>
      <c r="D214" s="415"/>
      <c r="E214" s="415"/>
      <c r="F214" s="291"/>
      <c r="G214" s="415"/>
      <c r="H214" s="291"/>
      <c r="I214" s="415"/>
      <c r="J214" s="164"/>
      <c r="K214" s="164"/>
    </row>
    <row r="215" ht="15.75" customHeight="1">
      <c r="A215" s="164"/>
      <c r="B215" s="415"/>
      <c r="C215" s="415"/>
      <c r="D215" s="415"/>
      <c r="E215" s="415"/>
      <c r="F215" s="291"/>
      <c r="G215" s="415"/>
      <c r="H215" s="291"/>
      <c r="I215" s="415"/>
      <c r="J215" s="164"/>
      <c r="K215" s="164"/>
    </row>
    <row r="216" ht="15.75" customHeight="1">
      <c r="A216" s="164"/>
      <c r="B216" s="415"/>
      <c r="C216" s="415"/>
      <c r="D216" s="415"/>
      <c r="E216" s="415"/>
      <c r="F216" s="291"/>
      <c r="G216" s="415"/>
      <c r="H216" s="291"/>
      <c r="I216" s="415"/>
      <c r="J216" s="164"/>
      <c r="K216" s="164"/>
    </row>
    <row r="217" ht="15.75" customHeight="1">
      <c r="A217" s="164"/>
      <c r="B217" s="415"/>
      <c r="C217" s="415"/>
      <c r="D217" s="415"/>
      <c r="E217" s="415"/>
      <c r="F217" s="291"/>
      <c r="G217" s="415"/>
      <c r="H217" s="291"/>
      <c r="I217" s="415"/>
      <c r="J217" s="164"/>
      <c r="K217" s="164"/>
    </row>
    <row r="218" ht="15.75" customHeight="1">
      <c r="A218" s="164"/>
      <c r="B218" s="415"/>
      <c r="C218" s="415"/>
      <c r="D218" s="415"/>
      <c r="E218" s="415"/>
      <c r="F218" s="291"/>
      <c r="G218" s="415"/>
      <c r="H218" s="291"/>
      <c r="I218" s="415"/>
      <c r="J218" s="164"/>
      <c r="K218" s="164"/>
    </row>
    <row r="219" ht="15.75" customHeight="1">
      <c r="A219" s="164"/>
      <c r="B219" s="415"/>
      <c r="C219" s="415"/>
      <c r="D219" s="415"/>
      <c r="E219" s="415"/>
      <c r="F219" s="291"/>
      <c r="G219" s="415"/>
      <c r="H219" s="291"/>
      <c r="I219" s="415"/>
      <c r="J219" s="164"/>
      <c r="K219" s="164"/>
    </row>
    <row r="220" ht="15.75" customHeight="1">
      <c r="A220" s="164"/>
      <c r="B220" s="415"/>
      <c r="C220" s="415"/>
      <c r="D220" s="415"/>
      <c r="E220" s="415"/>
      <c r="F220" s="291"/>
      <c r="G220" s="415"/>
      <c r="H220" s="291"/>
      <c r="I220" s="415"/>
      <c r="J220" s="164"/>
      <c r="K220" s="164"/>
    </row>
    <row r="221" ht="15.75" customHeight="1">
      <c r="A221" s="164"/>
      <c r="B221" s="415"/>
      <c r="C221" s="415"/>
      <c r="D221" s="415"/>
      <c r="E221" s="415"/>
      <c r="F221" s="291"/>
      <c r="G221" s="415"/>
      <c r="H221" s="291"/>
      <c r="I221" s="415"/>
      <c r="J221" s="164"/>
      <c r="K221" s="164"/>
    </row>
    <row r="222" ht="15.75" customHeight="1">
      <c r="A222" s="164"/>
      <c r="B222" s="415"/>
      <c r="C222" s="415"/>
      <c r="D222" s="415"/>
      <c r="E222" s="415"/>
      <c r="F222" s="291"/>
      <c r="G222" s="415"/>
      <c r="H222" s="291"/>
      <c r="I222" s="415"/>
      <c r="J222" s="164"/>
      <c r="K222" s="164"/>
    </row>
    <row r="223" ht="15.75" customHeight="1">
      <c r="A223" s="164"/>
      <c r="B223" s="415"/>
      <c r="C223" s="415"/>
      <c r="D223" s="415"/>
      <c r="E223" s="415"/>
      <c r="F223" s="291"/>
      <c r="G223" s="415"/>
      <c r="H223" s="291"/>
      <c r="I223" s="415"/>
      <c r="J223" s="164"/>
      <c r="K223" s="164"/>
    </row>
    <row r="224" ht="15.75" customHeight="1">
      <c r="A224" s="164"/>
      <c r="B224" s="415"/>
      <c r="C224" s="415"/>
      <c r="D224" s="415"/>
      <c r="E224" s="415"/>
      <c r="F224" s="291"/>
      <c r="G224" s="415"/>
      <c r="H224" s="291"/>
      <c r="I224" s="415"/>
      <c r="J224" s="164"/>
      <c r="K224" s="164"/>
    </row>
    <row r="225" ht="15.75" customHeight="1">
      <c r="A225" s="164"/>
      <c r="B225" s="415"/>
      <c r="C225" s="415"/>
      <c r="D225" s="415"/>
      <c r="E225" s="415"/>
      <c r="F225" s="291"/>
      <c r="G225" s="415"/>
      <c r="H225" s="291"/>
      <c r="I225" s="415"/>
      <c r="J225" s="164"/>
      <c r="K225" s="164"/>
    </row>
    <row r="226" ht="15.75" customHeight="1">
      <c r="A226" s="164"/>
      <c r="B226" s="415"/>
      <c r="C226" s="415"/>
      <c r="D226" s="415"/>
      <c r="E226" s="415"/>
      <c r="F226" s="291"/>
      <c r="G226" s="415"/>
      <c r="H226" s="291"/>
      <c r="I226" s="415"/>
      <c r="J226" s="164"/>
      <c r="K226" s="164"/>
    </row>
    <row r="227" ht="15.75" customHeight="1">
      <c r="A227" s="164"/>
      <c r="B227" s="415"/>
      <c r="C227" s="415"/>
      <c r="D227" s="415"/>
      <c r="E227" s="415"/>
      <c r="F227" s="291"/>
      <c r="G227" s="415"/>
      <c r="H227" s="291"/>
      <c r="I227" s="415"/>
      <c r="J227" s="164"/>
      <c r="K227" s="164"/>
    </row>
    <row r="228" ht="15.75" customHeight="1">
      <c r="A228" s="164"/>
      <c r="B228" s="415"/>
      <c r="C228" s="415"/>
      <c r="D228" s="415"/>
      <c r="E228" s="415"/>
      <c r="F228" s="291"/>
      <c r="G228" s="415"/>
      <c r="H228" s="291"/>
      <c r="I228" s="415"/>
      <c r="J228" s="164"/>
      <c r="K228" s="164"/>
    </row>
    <row r="229" ht="15.75" customHeight="1">
      <c r="A229" s="164"/>
      <c r="B229" s="415"/>
      <c r="C229" s="415"/>
      <c r="D229" s="415"/>
      <c r="E229" s="415"/>
      <c r="F229" s="291"/>
      <c r="G229" s="415"/>
      <c r="H229" s="291"/>
      <c r="I229" s="415"/>
      <c r="J229" s="164"/>
      <c r="K229" s="164"/>
    </row>
    <row r="230" ht="15.75" customHeight="1">
      <c r="A230" s="164"/>
      <c r="B230" s="415"/>
      <c r="C230" s="415"/>
      <c r="D230" s="415"/>
      <c r="E230" s="415"/>
      <c r="F230" s="291"/>
      <c r="G230" s="415"/>
      <c r="H230" s="291"/>
      <c r="I230" s="415"/>
      <c r="J230" s="164"/>
      <c r="K230" s="164"/>
    </row>
    <row r="231" ht="15.75" customHeight="1">
      <c r="A231" s="164"/>
      <c r="B231" s="415"/>
      <c r="C231" s="415"/>
      <c r="D231" s="415"/>
      <c r="E231" s="415"/>
      <c r="F231" s="291"/>
      <c r="G231" s="415"/>
      <c r="H231" s="291"/>
      <c r="I231" s="415"/>
      <c r="J231" s="164"/>
      <c r="K231" s="164"/>
    </row>
    <row r="232" ht="15.75" customHeight="1">
      <c r="A232" s="164"/>
      <c r="B232" s="415"/>
      <c r="C232" s="415"/>
      <c r="D232" s="415"/>
      <c r="E232" s="415"/>
      <c r="F232" s="291"/>
      <c r="G232" s="415"/>
      <c r="H232" s="291"/>
      <c r="I232" s="415"/>
      <c r="J232" s="164"/>
      <c r="K232" s="164"/>
    </row>
    <row r="233" ht="15.75" customHeight="1">
      <c r="A233" s="164"/>
      <c r="B233" s="415"/>
      <c r="C233" s="415"/>
      <c r="D233" s="415"/>
      <c r="E233" s="415"/>
      <c r="F233" s="291"/>
      <c r="G233" s="415"/>
      <c r="H233" s="291"/>
      <c r="I233" s="415"/>
      <c r="J233" s="164"/>
      <c r="K233" s="164"/>
    </row>
    <row r="234" ht="15.75" customHeight="1">
      <c r="A234" s="164"/>
      <c r="B234" s="415"/>
      <c r="C234" s="415"/>
      <c r="D234" s="415"/>
      <c r="E234" s="415"/>
      <c r="F234" s="291"/>
      <c r="G234" s="415"/>
      <c r="H234" s="291"/>
      <c r="I234" s="415"/>
      <c r="J234" s="164"/>
      <c r="K234" s="164"/>
    </row>
    <row r="235" ht="15.75" customHeight="1">
      <c r="A235" s="164"/>
      <c r="B235" s="415"/>
      <c r="C235" s="415"/>
      <c r="D235" s="415"/>
      <c r="E235" s="415"/>
      <c r="F235" s="291"/>
      <c r="G235" s="415"/>
      <c r="H235" s="291"/>
      <c r="I235" s="415"/>
      <c r="J235" s="164"/>
      <c r="K235" s="164"/>
    </row>
    <row r="236" ht="15.75" customHeight="1">
      <c r="A236" s="164"/>
      <c r="B236" s="415"/>
      <c r="C236" s="415"/>
      <c r="D236" s="415"/>
      <c r="E236" s="415"/>
      <c r="F236" s="291"/>
      <c r="G236" s="415"/>
      <c r="H236" s="291"/>
      <c r="I236" s="415"/>
      <c r="J236" s="164"/>
      <c r="K236" s="164"/>
    </row>
    <row r="237" ht="15.75" customHeight="1">
      <c r="A237" s="164"/>
      <c r="B237" s="415"/>
      <c r="C237" s="415"/>
      <c r="D237" s="415"/>
      <c r="E237" s="415"/>
      <c r="F237" s="291"/>
      <c r="G237" s="415"/>
      <c r="H237" s="291"/>
      <c r="I237" s="415"/>
      <c r="J237" s="164"/>
      <c r="K237" s="164"/>
    </row>
    <row r="238" ht="15.75" customHeight="1">
      <c r="A238" s="164"/>
      <c r="B238" s="415"/>
      <c r="C238" s="415"/>
      <c r="D238" s="415"/>
      <c r="E238" s="415"/>
      <c r="F238" s="291"/>
      <c r="G238" s="415"/>
      <c r="H238" s="291"/>
      <c r="I238" s="415"/>
      <c r="J238" s="164"/>
      <c r="K238" s="164"/>
    </row>
    <row r="239" ht="15.75" customHeight="1">
      <c r="A239" s="164"/>
      <c r="B239" s="415"/>
      <c r="C239" s="415"/>
      <c r="D239" s="415"/>
      <c r="E239" s="415"/>
      <c r="F239" s="291"/>
      <c r="G239" s="415"/>
      <c r="H239" s="291"/>
      <c r="I239" s="415"/>
      <c r="J239" s="164"/>
      <c r="K239" s="164"/>
    </row>
    <row r="240" ht="15.75" customHeight="1">
      <c r="A240" s="164"/>
      <c r="B240" s="415"/>
      <c r="C240" s="415"/>
      <c r="D240" s="415"/>
      <c r="E240" s="415"/>
      <c r="F240" s="291"/>
      <c r="G240" s="415"/>
      <c r="H240" s="291"/>
      <c r="I240" s="415"/>
      <c r="J240" s="164"/>
      <c r="K240" s="164"/>
    </row>
    <row r="241" ht="15.75" customHeight="1">
      <c r="A241" s="164"/>
      <c r="B241" s="415"/>
      <c r="C241" s="415"/>
      <c r="D241" s="415"/>
      <c r="E241" s="415"/>
      <c r="F241" s="291"/>
      <c r="G241" s="415"/>
      <c r="H241" s="291"/>
      <c r="I241" s="415"/>
      <c r="J241" s="164"/>
      <c r="K241" s="164"/>
    </row>
    <row r="242" ht="15.75" customHeight="1">
      <c r="A242" s="164"/>
      <c r="B242" s="415"/>
      <c r="C242" s="415"/>
      <c r="D242" s="415"/>
      <c r="E242" s="415"/>
      <c r="F242" s="291"/>
      <c r="G242" s="415"/>
      <c r="H242" s="291"/>
      <c r="I242" s="415"/>
      <c r="J242" s="164"/>
      <c r="K242" s="164"/>
    </row>
    <row r="243" ht="15.75" customHeight="1">
      <c r="A243" s="164"/>
      <c r="B243" s="415"/>
      <c r="C243" s="415"/>
      <c r="D243" s="415"/>
      <c r="E243" s="415"/>
      <c r="F243" s="291"/>
      <c r="G243" s="415"/>
      <c r="H243" s="291"/>
      <c r="I243" s="415"/>
      <c r="J243" s="164"/>
      <c r="K243" s="164"/>
    </row>
    <row r="244" ht="15.75" customHeight="1">
      <c r="A244" s="164"/>
      <c r="B244" s="415"/>
      <c r="C244" s="415"/>
      <c r="D244" s="415"/>
      <c r="E244" s="415"/>
      <c r="F244" s="291"/>
      <c r="G244" s="415"/>
      <c r="H244" s="291"/>
      <c r="I244" s="415"/>
      <c r="J244" s="164"/>
      <c r="K244" s="164"/>
    </row>
    <row r="245" ht="15.75" customHeight="1">
      <c r="A245" s="164"/>
      <c r="B245" s="415"/>
      <c r="C245" s="415"/>
      <c r="D245" s="415"/>
      <c r="E245" s="415"/>
      <c r="F245" s="291"/>
      <c r="G245" s="415"/>
      <c r="H245" s="291"/>
      <c r="I245" s="415"/>
      <c r="J245" s="164"/>
      <c r="K245" s="164"/>
    </row>
    <row r="246" ht="15.75" customHeight="1">
      <c r="A246" s="164"/>
      <c r="B246" s="415"/>
      <c r="C246" s="415"/>
      <c r="D246" s="415"/>
      <c r="E246" s="415"/>
      <c r="F246" s="291"/>
      <c r="G246" s="415"/>
      <c r="H246" s="291"/>
      <c r="I246" s="415"/>
      <c r="J246" s="164"/>
      <c r="K246" s="164"/>
    </row>
    <row r="247" ht="15.75" customHeight="1">
      <c r="A247" s="164"/>
      <c r="B247" s="415"/>
      <c r="C247" s="415"/>
      <c r="D247" s="415"/>
      <c r="E247" s="415"/>
      <c r="F247" s="291"/>
      <c r="G247" s="415"/>
      <c r="H247" s="291"/>
      <c r="I247" s="415"/>
      <c r="J247" s="164"/>
      <c r="K247" s="164"/>
    </row>
    <row r="248" ht="15.75" customHeight="1">
      <c r="A248" s="164"/>
      <c r="B248" s="415"/>
      <c r="C248" s="415"/>
      <c r="D248" s="415"/>
      <c r="E248" s="415"/>
      <c r="F248" s="291"/>
      <c r="G248" s="415"/>
      <c r="H248" s="291"/>
      <c r="I248" s="415"/>
      <c r="J248" s="164"/>
      <c r="K248" s="164"/>
    </row>
    <row r="249" ht="15.75" customHeight="1">
      <c r="A249" s="164"/>
      <c r="B249" s="415"/>
      <c r="C249" s="415"/>
      <c r="D249" s="415"/>
      <c r="E249" s="415"/>
      <c r="F249" s="291"/>
      <c r="G249" s="415"/>
      <c r="H249" s="291"/>
      <c r="I249" s="415"/>
      <c r="J249" s="164"/>
      <c r="K249" s="164"/>
    </row>
    <row r="250" ht="15.75" customHeight="1">
      <c r="A250" s="164"/>
      <c r="B250" s="415"/>
      <c r="C250" s="415"/>
      <c r="D250" s="415"/>
      <c r="E250" s="415"/>
      <c r="F250" s="291"/>
      <c r="G250" s="415"/>
      <c r="H250" s="291"/>
      <c r="I250" s="415"/>
      <c r="J250" s="164"/>
      <c r="K250" s="164"/>
    </row>
    <row r="251" ht="15.75" customHeight="1">
      <c r="A251" s="164"/>
      <c r="B251" s="415"/>
      <c r="C251" s="415"/>
      <c r="D251" s="415"/>
      <c r="E251" s="415"/>
      <c r="F251" s="291"/>
      <c r="G251" s="415"/>
      <c r="H251" s="291"/>
      <c r="I251" s="415"/>
      <c r="J251" s="164"/>
      <c r="K251" s="164"/>
    </row>
    <row r="252" ht="15.75" customHeight="1">
      <c r="A252" s="164"/>
      <c r="B252" s="415"/>
      <c r="C252" s="415"/>
      <c r="D252" s="415"/>
      <c r="E252" s="415"/>
      <c r="F252" s="291"/>
      <c r="G252" s="415"/>
      <c r="H252" s="291"/>
      <c r="I252" s="415"/>
      <c r="J252" s="164"/>
      <c r="K252" s="164"/>
    </row>
    <row r="253" ht="15.75" customHeight="1">
      <c r="A253" s="164"/>
      <c r="B253" s="415"/>
      <c r="C253" s="415"/>
      <c r="D253" s="415"/>
      <c r="E253" s="415"/>
      <c r="F253" s="291"/>
      <c r="G253" s="415"/>
      <c r="H253" s="291"/>
      <c r="I253" s="415"/>
      <c r="J253" s="164"/>
      <c r="K253" s="164"/>
    </row>
    <row r="254" ht="15.75" customHeight="1">
      <c r="A254" s="164"/>
      <c r="B254" s="415"/>
      <c r="C254" s="415"/>
      <c r="D254" s="415"/>
      <c r="E254" s="415"/>
      <c r="F254" s="291"/>
      <c r="G254" s="415"/>
      <c r="H254" s="291"/>
      <c r="I254" s="415"/>
      <c r="J254" s="164"/>
      <c r="K254" s="164"/>
    </row>
    <row r="255" ht="15.75" customHeight="1">
      <c r="A255" s="164"/>
      <c r="B255" s="415"/>
      <c r="C255" s="415"/>
      <c r="D255" s="415"/>
      <c r="E255" s="415"/>
      <c r="F255" s="291"/>
      <c r="G255" s="415"/>
      <c r="H255" s="291"/>
      <c r="I255" s="415"/>
      <c r="J255" s="164"/>
      <c r="K255" s="164"/>
    </row>
    <row r="256" ht="15.75" customHeight="1">
      <c r="A256" s="164"/>
      <c r="B256" s="415"/>
      <c r="C256" s="415"/>
      <c r="D256" s="415"/>
      <c r="E256" s="415"/>
      <c r="F256" s="291"/>
      <c r="G256" s="415"/>
      <c r="H256" s="291"/>
      <c r="I256" s="415"/>
      <c r="J256" s="164"/>
      <c r="K256" s="164"/>
    </row>
    <row r="257" ht="15.75" customHeight="1">
      <c r="A257" s="164"/>
      <c r="B257" s="415"/>
      <c r="C257" s="415"/>
      <c r="D257" s="415"/>
      <c r="E257" s="415"/>
      <c r="F257" s="291"/>
      <c r="G257" s="415"/>
      <c r="H257" s="291"/>
      <c r="I257" s="415"/>
      <c r="J257" s="164"/>
      <c r="K257" s="164"/>
    </row>
    <row r="258" ht="15.75" customHeight="1">
      <c r="A258" s="164"/>
      <c r="B258" s="415"/>
      <c r="C258" s="415"/>
      <c r="D258" s="415"/>
      <c r="E258" s="415"/>
      <c r="F258" s="291"/>
      <c r="G258" s="415"/>
      <c r="H258" s="291"/>
      <c r="I258" s="415"/>
      <c r="J258" s="164"/>
      <c r="K258" s="164"/>
    </row>
    <row r="259" ht="15.75" customHeight="1">
      <c r="A259" s="164"/>
      <c r="B259" s="415"/>
      <c r="C259" s="415"/>
      <c r="D259" s="415"/>
      <c r="E259" s="415"/>
      <c r="F259" s="291"/>
      <c r="G259" s="415"/>
      <c r="H259" s="291"/>
      <c r="I259" s="415"/>
      <c r="J259" s="164"/>
      <c r="K259" s="164"/>
    </row>
    <row r="260" ht="15.75" customHeight="1">
      <c r="A260" s="164"/>
      <c r="B260" s="415"/>
      <c r="C260" s="415"/>
      <c r="D260" s="415"/>
      <c r="E260" s="415"/>
      <c r="F260" s="291"/>
      <c r="G260" s="415"/>
      <c r="H260" s="291"/>
      <c r="I260" s="415"/>
      <c r="J260" s="164"/>
      <c r="K260" s="164"/>
    </row>
    <row r="261" ht="15.75" customHeight="1">
      <c r="A261" s="164"/>
      <c r="B261" s="415"/>
      <c r="C261" s="415"/>
      <c r="D261" s="415"/>
      <c r="E261" s="415"/>
      <c r="F261" s="291"/>
      <c r="G261" s="415"/>
      <c r="H261" s="291"/>
      <c r="I261" s="415"/>
      <c r="J261" s="164"/>
      <c r="K261" s="164"/>
    </row>
    <row r="262" ht="15.75" customHeight="1">
      <c r="A262" s="164"/>
      <c r="B262" s="415"/>
      <c r="C262" s="415"/>
      <c r="D262" s="415"/>
      <c r="E262" s="415"/>
      <c r="F262" s="291"/>
      <c r="G262" s="415"/>
      <c r="H262" s="291"/>
      <c r="I262" s="415"/>
      <c r="J262" s="164"/>
      <c r="K262" s="164"/>
    </row>
    <row r="263" ht="15.75" customHeight="1">
      <c r="A263" s="164"/>
      <c r="B263" s="415"/>
      <c r="C263" s="415"/>
      <c r="D263" s="415"/>
      <c r="E263" s="415"/>
      <c r="F263" s="291"/>
      <c r="G263" s="415"/>
      <c r="H263" s="291"/>
      <c r="I263" s="415"/>
      <c r="J263" s="164"/>
      <c r="K263" s="164"/>
    </row>
    <row r="264" ht="15.75" customHeight="1">
      <c r="A264" s="164"/>
      <c r="B264" s="415"/>
      <c r="C264" s="415"/>
      <c r="D264" s="415"/>
      <c r="E264" s="415"/>
      <c r="F264" s="291"/>
      <c r="G264" s="415"/>
      <c r="H264" s="291"/>
      <c r="I264" s="415"/>
      <c r="J264" s="164"/>
      <c r="K264" s="164"/>
    </row>
    <row r="265" ht="15.75" customHeight="1">
      <c r="A265" s="164"/>
      <c r="B265" s="415"/>
      <c r="C265" s="415"/>
      <c r="D265" s="415"/>
      <c r="E265" s="415"/>
      <c r="F265" s="291"/>
      <c r="G265" s="415"/>
      <c r="H265" s="291"/>
      <c r="I265" s="415"/>
      <c r="J265" s="164"/>
      <c r="K265" s="164"/>
    </row>
    <row r="266" ht="15.75" customHeight="1">
      <c r="A266" s="164"/>
      <c r="B266" s="415"/>
      <c r="C266" s="415"/>
      <c r="D266" s="415"/>
      <c r="E266" s="415"/>
      <c r="F266" s="291"/>
      <c r="G266" s="415"/>
      <c r="H266" s="291"/>
      <c r="I266" s="415"/>
      <c r="J266" s="164"/>
      <c r="K266" s="164"/>
    </row>
    <row r="267" ht="15.75" customHeight="1">
      <c r="A267" s="164"/>
      <c r="B267" s="415"/>
      <c r="C267" s="415"/>
      <c r="D267" s="415"/>
      <c r="E267" s="415"/>
      <c r="F267" s="291"/>
      <c r="G267" s="415"/>
      <c r="H267" s="291"/>
      <c r="I267" s="415"/>
      <c r="J267" s="164"/>
      <c r="K267" s="164"/>
    </row>
    <row r="268" ht="15.75" customHeight="1">
      <c r="A268" s="164"/>
      <c r="B268" s="415"/>
      <c r="C268" s="415"/>
      <c r="D268" s="415"/>
      <c r="E268" s="415"/>
      <c r="F268" s="291"/>
      <c r="G268" s="415"/>
      <c r="H268" s="291"/>
      <c r="I268" s="415"/>
      <c r="J268" s="164"/>
      <c r="K268" s="164"/>
    </row>
    <row r="269" ht="15.75" customHeight="1">
      <c r="A269" s="164"/>
      <c r="B269" s="415"/>
      <c r="C269" s="415"/>
      <c r="D269" s="415"/>
      <c r="E269" s="415"/>
      <c r="F269" s="291"/>
      <c r="G269" s="415"/>
      <c r="H269" s="291"/>
      <c r="I269" s="415"/>
      <c r="J269" s="164"/>
      <c r="K269" s="164"/>
    </row>
    <row r="270" ht="15.75" customHeight="1">
      <c r="A270" s="164"/>
      <c r="B270" s="415"/>
      <c r="C270" s="415"/>
      <c r="D270" s="415"/>
      <c r="E270" s="415"/>
      <c r="F270" s="291"/>
      <c r="G270" s="415"/>
      <c r="H270" s="291"/>
      <c r="I270" s="415"/>
      <c r="J270" s="164"/>
      <c r="K270" s="164"/>
    </row>
    <row r="271" ht="15.75" customHeight="1">
      <c r="A271" s="164"/>
      <c r="B271" s="415"/>
      <c r="C271" s="415"/>
      <c r="D271" s="415"/>
      <c r="E271" s="415"/>
      <c r="F271" s="291"/>
      <c r="G271" s="415"/>
      <c r="H271" s="291"/>
      <c r="I271" s="415"/>
      <c r="J271" s="164"/>
      <c r="K271" s="164"/>
    </row>
    <row r="272" ht="15.75" customHeight="1">
      <c r="A272" s="164"/>
      <c r="B272" s="415"/>
      <c r="C272" s="415"/>
      <c r="D272" s="415"/>
      <c r="E272" s="415"/>
      <c r="F272" s="291"/>
      <c r="G272" s="415"/>
      <c r="H272" s="291"/>
      <c r="I272" s="415"/>
      <c r="J272" s="164"/>
      <c r="K272" s="164"/>
    </row>
    <row r="273" ht="15.75" customHeight="1">
      <c r="A273" s="164"/>
      <c r="B273" s="415"/>
      <c r="C273" s="415"/>
      <c r="D273" s="415"/>
      <c r="E273" s="415"/>
      <c r="F273" s="291"/>
      <c r="G273" s="415"/>
      <c r="H273" s="291"/>
      <c r="I273" s="415"/>
      <c r="J273" s="164"/>
      <c r="K273" s="164"/>
    </row>
    <row r="274" ht="15.75" customHeight="1">
      <c r="A274" s="164"/>
      <c r="B274" s="415"/>
      <c r="C274" s="415"/>
      <c r="D274" s="415"/>
      <c r="E274" s="415"/>
      <c r="F274" s="291"/>
      <c r="G274" s="415"/>
      <c r="H274" s="291"/>
      <c r="I274" s="415"/>
      <c r="J274" s="164"/>
      <c r="K274" s="164"/>
    </row>
    <row r="275" ht="15.75" customHeight="1">
      <c r="A275" s="164"/>
      <c r="B275" s="415"/>
      <c r="C275" s="415"/>
      <c r="D275" s="415"/>
      <c r="E275" s="415"/>
      <c r="F275" s="291"/>
      <c r="G275" s="415"/>
      <c r="H275" s="291"/>
      <c r="I275" s="415"/>
      <c r="J275" s="164"/>
      <c r="K275" s="164"/>
    </row>
    <row r="276" ht="15.75" customHeight="1">
      <c r="A276" s="164"/>
      <c r="B276" s="415"/>
      <c r="C276" s="415"/>
      <c r="D276" s="415"/>
      <c r="E276" s="415"/>
      <c r="F276" s="291"/>
      <c r="G276" s="415"/>
      <c r="H276" s="291"/>
      <c r="I276" s="415"/>
      <c r="J276" s="164"/>
      <c r="K276" s="164"/>
    </row>
    <row r="277" ht="15.75" customHeight="1">
      <c r="A277" s="164"/>
      <c r="B277" s="415"/>
      <c r="C277" s="415"/>
      <c r="D277" s="415"/>
      <c r="E277" s="415"/>
      <c r="F277" s="291"/>
      <c r="G277" s="415"/>
      <c r="H277" s="291"/>
      <c r="I277" s="415"/>
      <c r="J277" s="164"/>
      <c r="K277" s="164"/>
    </row>
    <row r="278" ht="15.75" customHeight="1">
      <c r="A278" s="164"/>
      <c r="B278" s="415"/>
      <c r="C278" s="415"/>
      <c r="D278" s="415"/>
      <c r="E278" s="415"/>
      <c r="F278" s="291"/>
      <c r="G278" s="415"/>
      <c r="H278" s="291"/>
      <c r="I278" s="415"/>
      <c r="J278" s="164"/>
      <c r="K278" s="164"/>
    </row>
    <row r="279" ht="15.75" customHeight="1">
      <c r="A279" s="164"/>
      <c r="B279" s="415"/>
      <c r="C279" s="415"/>
      <c r="D279" s="415"/>
      <c r="E279" s="415"/>
      <c r="F279" s="291"/>
      <c r="G279" s="415"/>
      <c r="H279" s="291"/>
      <c r="I279" s="415"/>
      <c r="J279" s="164"/>
      <c r="K279" s="164"/>
    </row>
    <row r="280" ht="15.75" customHeight="1">
      <c r="A280" s="164"/>
      <c r="B280" s="415"/>
      <c r="C280" s="415"/>
      <c r="D280" s="415"/>
      <c r="E280" s="415"/>
      <c r="F280" s="291"/>
      <c r="G280" s="415"/>
      <c r="H280" s="291"/>
      <c r="I280" s="415"/>
      <c r="J280" s="164"/>
      <c r="K280" s="164"/>
    </row>
    <row r="281" ht="15.75" customHeight="1">
      <c r="A281" s="164"/>
      <c r="B281" s="415"/>
      <c r="C281" s="415"/>
      <c r="D281" s="415"/>
      <c r="E281" s="415"/>
      <c r="F281" s="291"/>
      <c r="G281" s="415"/>
      <c r="H281" s="291"/>
      <c r="I281" s="415"/>
      <c r="J281" s="164"/>
      <c r="K281" s="164"/>
    </row>
    <row r="282" ht="15.75" customHeight="1">
      <c r="A282" s="164"/>
      <c r="B282" s="415"/>
      <c r="C282" s="415"/>
      <c r="D282" s="415"/>
      <c r="E282" s="415"/>
      <c r="F282" s="291"/>
      <c r="G282" s="415"/>
      <c r="H282" s="291"/>
      <c r="I282" s="415"/>
      <c r="J282" s="164"/>
      <c r="K282" s="164"/>
    </row>
    <row r="283" ht="15.75" customHeight="1">
      <c r="A283" s="164"/>
      <c r="B283" s="415"/>
      <c r="C283" s="415"/>
      <c r="D283" s="415"/>
      <c r="E283" s="415"/>
      <c r="F283" s="291"/>
      <c r="G283" s="415"/>
      <c r="H283" s="291"/>
      <c r="I283" s="415"/>
      <c r="J283" s="164"/>
      <c r="K283" s="164"/>
    </row>
    <row r="284" ht="15.75" customHeight="1">
      <c r="A284" s="164"/>
      <c r="B284" s="415"/>
      <c r="C284" s="415"/>
      <c r="D284" s="415"/>
      <c r="E284" s="415"/>
      <c r="F284" s="291"/>
      <c r="G284" s="415"/>
      <c r="H284" s="291"/>
      <c r="I284" s="415"/>
      <c r="J284" s="164"/>
      <c r="K284" s="164"/>
    </row>
    <row r="285" ht="15.75" customHeight="1">
      <c r="A285" s="164"/>
      <c r="B285" s="415"/>
      <c r="C285" s="415"/>
      <c r="D285" s="415"/>
      <c r="E285" s="415"/>
      <c r="F285" s="291"/>
      <c r="G285" s="415"/>
      <c r="H285" s="291"/>
      <c r="I285" s="415"/>
      <c r="J285" s="164"/>
      <c r="K285" s="164"/>
    </row>
    <row r="286" ht="15.75" customHeight="1">
      <c r="A286" s="164"/>
      <c r="B286" s="415"/>
      <c r="C286" s="415"/>
      <c r="D286" s="415"/>
      <c r="E286" s="415"/>
      <c r="F286" s="291"/>
      <c r="G286" s="415"/>
      <c r="H286" s="291"/>
      <c r="I286" s="415"/>
      <c r="J286" s="164"/>
      <c r="K286" s="164"/>
    </row>
    <row r="287" ht="15.75" customHeight="1">
      <c r="A287" s="164"/>
      <c r="B287" s="415"/>
      <c r="C287" s="415"/>
      <c r="D287" s="415"/>
      <c r="E287" s="415"/>
      <c r="F287" s="291"/>
      <c r="G287" s="415"/>
      <c r="H287" s="291"/>
      <c r="I287" s="415"/>
      <c r="J287" s="164"/>
      <c r="K287" s="164"/>
    </row>
    <row r="288" ht="15.75" customHeight="1">
      <c r="A288" s="164"/>
      <c r="B288" s="415"/>
      <c r="C288" s="415"/>
      <c r="D288" s="415"/>
      <c r="E288" s="415"/>
      <c r="F288" s="291"/>
      <c r="G288" s="415"/>
      <c r="H288" s="291"/>
      <c r="I288" s="415"/>
      <c r="J288" s="164"/>
      <c r="K288" s="164"/>
    </row>
    <row r="289" ht="15.75" customHeight="1">
      <c r="A289" s="164"/>
      <c r="B289" s="415"/>
      <c r="C289" s="415"/>
      <c r="D289" s="415"/>
      <c r="E289" s="415"/>
      <c r="F289" s="291"/>
      <c r="G289" s="415"/>
      <c r="H289" s="291"/>
      <c r="I289" s="415"/>
      <c r="J289" s="164"/>
      <c r="K289" s="164"/>
    </row>
    <row r="290" ht="15.75" customHeight="1">
      <c r="A290" s="164"/>
      <c r="B290" s="415"/>
      <c r="C290" s="415"/>
      <c r="D290" s="415"/>
      <c r="E290" s="415"/>
      <c r="F290" s="291"/>
      <c r="G290" s="415"/>
      <c r="H290" s="291"/>
      <c r="I290" s="415"/>
      <c r="J290" s="164"/>
      <c r="K290" s="164"/>
    </row>
    <row r="291" ht="15.75" customHeight="1">
      <c r="A291" s="164"/>
      <c r="B291" s="415"/>
      <c r="C291" s="415"/>
      <c r="D291" s="415"/>
      <c r="E291" s="415"/>
      <c r="F291" s="291"/>
      <c r="G291" s="415"/>
      <c r="H291" s="291"/>
      <c r="I291" s="415"/>
      <c r="J291" s="164"/>
      <c r="K291" s="164"/>
    </row>
    <row r="292" ht="15.75" customHeight="1">
      <c r="A292" s="164"/>
      <c r="B292" s="415"/>
      <c r="C292" s="415"/>
      <c r="D292" s="415"/>
      <c r="E292" s="415"/>
      <c r="F292" s="291"/>
      <c r="G292" s="415"/>
      <c r="H292" s="291"/>
      <c r="I292" s="415"/>
      <c r="J292" s="164"/>
      <c r="K292" s="164"/>
    </row>
    <row r="293" ht="15.75" customHeight="1">
      <c r="A293" s="164"/>
      <c r="B293" s="415"/>
      <c r="C293" s="415"/>
      <c r="D293" s="415"/>
      <c r="E293" s="415"/>
      <c r="F293" s="291"/>
      <c r="G293" s="415"/>
      <c r="H293" s="291"/>
      <c r="I293" s="415"/>
      <c r="J293" s="164"/>
      <c r="K293" s="164"/>
    </row>
    <row r="294" ht="15.75" customHeight="1">
      <c r="A294" s="164"/>
      <c r="B294" s="415"/>
      <c r="C294" s="415"/>
      <c r="D294" s="415"/>
      <c r="E294" s="415"/>
      <c r="F294" s="291"/>
      <c r="G294" s="415"/>
      <c r="H294" s="291"/>
      <c r="I294" s="415"/>
      <c r="J294" s="164"/>
      <c r="K294" s="164"/>
    </row>
    <row r="295" ht="15.75" customHeight="1">
      <c r="A295" s="164"/>
      <c r="B295" s="415"/>
      <c r="C295" s="415"/>
      <c r="D295" s="415"/>
      <c r="E295" s="415"/>
      <c r="F295" s="291"/>
      <c r="G295" s="415"/>
      <c r="H295" s="291"/>
      <c r="I295" s="415"/>
      <c r="J295" s="164"/>
      <c r="K295" s="164"/>
    </row>
    <row r="296" ht="15.75" customHeight="1">
      <c r="A296" s="164"/>
      <c r="B296" s="415"/>
      <c r="C296" s="415"/>
      <c r="D296" s="415"/>
      <c r="E296" s="415"/>
      <c r="F296" s="291"/>
      <c r="G296" s="415"/>
      <c r="H296" s="291"/>
      <c r="I296" s="415"/>
      <c r="J296" s="164"/>
      <c r="K296" s="164"/>
    </row>
    <row r="297" ht="15.75" customHeight="1">
      <c r="A297" s="164"/>
      <c r="B297" s="415"/>
      <c r="C297" s="415"/>
      <c r="D297" s="415"/>
      <c r="E297" s="415"/>
      <c r="F297" s="291"/>
      <c r="G297" s="415"/>
      <c r="H297" s="291"/>
      <c r="I297" s="415"/>
      <c r="J297" s="164"/>
      <c r="K297" s="164"/>
    </row>
    <row r="298" ht="15.75" customHeight="1">
      <c r="A298" s="164"/>
      <c r="B298" s="415"/>
      <c r="C298" s="415"/>
      <c r="D298" s="415"/>
      <c r="E298" s="415"/>
      <c r="F298" s="291"/>
      <c r="G298" s="415"/>
      <c r="H298" s="291"/>
      <c r="I298" s="415"/>
      <c r="J298" s="164"/>
      <c r="K298" s="164"/>
    </row>
    <row r="299" ht="15.75" customHeight="1">
      <c r="A299" s="164"/>
      <c r="B299" s="415"/>
      <c r="C299" s="415"/>
      <c r="D299" s="415"/>
      <c r="E299" s="415"/>
      <c r="F299" s="291"/>
      <c r="G299" s="415"/>
      <c r="H299" s="291"/>
      <c r="I299" s="415"/>
      <c r="J299" s="164"/>
      <c r="K299" s="164"/>
    </row>
    <row r="300" ht="15.75" customHeight="1">
      <c r="A300" s="164"/>
      <c r="B300" s="415"/>
      <c r="C300" s="415"/>
      <c r="D300" s="415"/>
      <c r="E300" s="415"/>
      <c r="F300" s="291"/>
      <c r="G300" s="415"/>
      <c r="H300" s="291"/>
      <c r="I300" s="415"/>
      <c r="J300" s="164"/>
      <c r="K300" s="164"/>
    </row>
    <row r="301" ht="15.75" customHeight="1">
      <c r="A301" s="164"/>
      <c r="B301" s="415"/>
      <c r="C301" s="415"/>
      <c r="D301" s="415"/>
      <c r="E301" s="415"/>
      <c r="F301" s="291"/>
      <c r="G301" s="415"/>
      <c r="H301" s="291"/>
      <c r="I301" s="415"/>
      <c r="J301" s="164"/>
      <c r="K301" s="164"/>
    </row>
    <row r="302" ht="15.75" customHeight="1">
      <c r="A302" s="164"/>
      <c r="B302" s="415"/>
      <c r="C302" s="415"/>
      <c r="D302" s="415"/>
      <c r="E302" s="415"/>
      <c r="F302" s="291"/>
      <c r="G302" s="415"/>
      <c r="H302" s="291"/>
      <c r="I302" s="415"/>
      <c r="J302" s="164"/>
      <c r="K302" s="164"/>
    </row>
    <row r="303" ht="15.75" customHeight="1">
      <c r="A303" s="164"/>
      <c r="B303" s="415"/>
      <c r="C303" s="415"/>
      <c r="D303" s="415"/>
      <c r="E303" s="415"/>
      <c r="F303" s="291"/>
      <c r="G303" s="415"/>
      <c r="H303" s="291"/>
      <c r="I303" s="415"/>
      <c r="J303" s="164"/>
      <c r="K303" s="164"/>
    </row>
    <row r="304" ht="15.75" customHeight="1">
      <c r="A304" s="164"/>
      <c r="B304" s="415"/>
      <c r="C304" s="415"/>
      <c r="D304" s="415"/>
      <c r="E304" s="415"/>
      <c r="F304" s="291"/>
      <c r="G304" s="415"/>
      <c r="H304" s="291"/>
      <c r="I304" s="415"/>
      <c r="J304" s="164"/>
      <c r="K304" s="164"/>
    </row>
    <row r="305" ht="15.75" customHeight="1">
      <c r="A305" s="164"/>
      <c r="B305" s="415"/>
      <c r="C305" s="415"/>
      <c r="D305" s="415"/>
      <c r="E305" s="415"/>
      <c r="F305" s="291"/>
      <c r="G305" s="415"/>
      <c r="H305" s="291"/>
      <c r="I305" s="415"/>
      <c r="J305" s="164"/>
      <c r="K305" s="164"/>
    </row>
    <row r="306" ht="15.75" customHeight="1">
      <c r="A306" s="164"/>
      <c r="B306" s="415"/>
      <c r="C306" s="415"/>
      <c r="D306" s="415"/>
      <c r="E306" s="415"/>
      <c r="F306" s="291"/>
      <c r="G306" s="415"/>
      <c r="H306" s="291"/>
      <c r="I306" s="415"/>
      <c r="J306" s="164"/>
      <c r="K306" s="164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J4"/>
    <mergeCell ref="B5:J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3" width="7.63"/>
    <col customWidth="1" min="4" max="5" width="2.63"/>
    <col customWidth="1" min="6" max="6" width="8.88"/>
    <col customWidth="1" min="7" max="8" width="5.13"/>
    <col customWidth="1" min="9" max="9" width="6.38"/>
    <col customWidth="1" min="10" max="14" width="5.13"/>
    <col customWidth="1" min="15" max="15" width="9.5"/>
    <col customWidth="1" min="16" max="16" width="5.13"/>
  </cols>
  <sheetData>
    <row r="1">
      <c r="A1" s="2" t="str">
        <f>'TERMIN - DANE'!B2</f>
        <v/>
      </c>
      <c r="F1" s="2"/>
      <c r="G1" s="2"/>
      <c r="H1" s="2"/>
      <c r="I1" s="1"/>
      <c r="J1" s="1"/>
      <c r="K1" s="1"/>
      <c r="L1" s="1"/>
      <c r="M1" s="1"/>
      <c r="N1" s="62" t="s">
        <v>39</v>
      </c>
      <c r="O1" s="63">
        <f>TODAY()</f>
        <v>46211</v>
      </c>
      <c r="P1" s="64"/>
    </row>
    <row r="2">
      <c r="F2" s="2"/>
      <c r="G2" s="2"/>
      <c r="H2" s="2"/>
      <c r="I2" s="1"/>
      <c r="J2" s="1"/>
      <c r="K2" s="1"/>
      <c r="L2" s="1"/>
      <c r="M2" s="1"/>
      <c r="N2" s="1"/>
      <c r="O2" s="65"/>
      <c r="P2" s="1"/>
    </row>
    <row r="3">
      <c r="F3" s="2"/>
      <c r="G3" s="2"/>
      <c r="H3" s="2"/>
      <c r="I3" s="1"/>
      <c r="J3" s="1"/>
      <c r="K3" s="1"/>
      <c r="L3" s="1"/>
      <c r="M3" s="1"/>
      <c r="N3" s="66" t="s">
        <v>40</v>
      </c>
      <c r="O3" s="67"/>
      <c r="P3" s="424" t="s">
        <v>217</v>
      </c>
    </row>
    <row r="4">
      <c r="F4" s="2"/>
      <c r="G4" s="2"/>
      <c r="H4" s="2"/>
      <c r="I4" s="1"/>
      <c r="J4" s="1"/>
      <c r="K4" s="1"/>
      <c r="L4" s="1"/>
      <c r="M4" s="1"/>
      <c r="N4" s="1"/>
      <c r="O4" s="1"/>
      <c r="P4" s="1"/>
    </row>
    <row r="5">
      <c r="F5" s="2"/>
      <c r="G5" s="2"/>
      <c r="H5" s="2"/>
      <c r="I5" s="1"/>
      <c r="J5" s="67"/>
      <c r="K5" s="69" t="s">
        <v>42</v>
      </c>
      <c r="L5" s="298" t="s">
        <v>218</v>
      </c>
      <c r="M5" s="13"/>
      <c r="N5" s="13"/>
      <c r="O5" s="13"/>
      <c r="P5" s="64"/>
    </row>
    <row r="6">
      <c r="A6" s="71" t="s">
        <v>219</v>
      </c>
    </row>
    <row r="8" ht="7.5" customHeight="1"/>
    <row r="9" ht="22.5" customHeight="1">
      <c r="A9" s="425" t="b">
        <v>1</v>
      </c>
      <c r="B9" s="426" t="s">
        <v>220</v>
      </c>
      <c r="D9" s="425"/>
      <c r="E9" s="427"/>
      <c r="F9" s="428" t="s">
        <v>221</v>
      </c>
      <c r="G9" s="429"/>
      <c r="H9" s="429"/>
      <c r="I9" s="429"/>
      <c r="J9" s="429"/>
      <c r="K9" s="429"/>
      <c r="L9" s="429"/>
      <c r="M9" s="429"/>
      <c r="N9" s="429"/>
      <c r="O9" s="430"/>
      <c r="P9" s="425"/>
    </row>
    <row r="10" ht="11.25" customHeight="1">
      <c r="A10" s="425"/>
      <c r="B10" s="431"/>
      <c r="D10" s="425"/>
      <c r="E10" s="425"/>
      <c r="F10" s="425"/>
      <c r="G10" s="425"/>
      <c r="H10" s="425"/>
      <c r="I10" s="425"/>
      <c r="J10" s="425"/>
      <c r="K10" s="425"/>
      <c r="L10" s="425"/>
      <c r="M10" s="425"/>
      <c r="N10" s="425"/>
      <c r="O10" s="425"/>
      <c r="P10" s="425"/>
    </row>
    <row r="11" ht="22.5" customHeight="1">
      <c r="A11" s="425" t="b">
        <v>1</v>
      </c>
      <c r="B11" s="432" t="s">
        <v>222</v>
      </c>
      <c r="D11" s="425"/>
      <c r="E11" s="425"/>
      <c r="F11" s="428" t="s">
        <v>223</v>
      </c>
      <c r="G11" s="429"/>
      <c r="H11" s="429"/>
      <c r="I11" s="429"/>
      <c r="J11" s="429"/>
      <c r="K11" s="429"/>
      <c r="L11" s="429"/>
      <c r="M11" s="429"/>
      <c r="N11" s="429"/>
      <c r="O11" s="430"/>
      <c r="P11" s="425"/>
    </row>
    <row r="12" ht="11.25" customHeight="1">
      <c r="A12" s="425"/>
      <c r="B12" s="431"/>
      <c r="D12" s="425"/>
      <c r="E12" s="425"/>
      <c r="F12" s="433"/>
      <c r="G12" s="433"/>
      <c r="H12" s="433"/>
      <c r="I12" s="433"/>
      <c r="J12" s="433"/>
      <c r="K12" s="433"/>
      <c r="L12" s="433"/>
      <c r="M12" s="433"/>
      <c r="N12" s="433"/>
      <c r="O12" s="433"/>
      <c r="P12" s="425"/>
    </row>
    <row r="13" ht="22.5" customHeight="1">
      <c r="A13" s="425" t="b">
        <v>1</v>
      </c>
      <c r="B13" s="432" t="s">
        <v>224</v>
      </c>
      <c r="D13" s="425"/>
      <c r="E13" s="427"/>
      <c r="F13" s="428" t="s">
        <v>225</v>
      </c>
      <c r="G13" s="429"/>
      <c r="H13" s="429"/>
      <c r="I13" s="429"/>
      <c r="J13" s="429"/>
      <c r="K13" s="429"/>
      <c r="L13" s="429"/>
      <c r="M13" s="429"/>
      <c r="N13" s="429"/>
      <c r="O13" s="430"/>
      <c r="P13" s="425"/>
    </row>
    <row r="14" ht="11.25" customHeight="1">
      <c r="A14" s="425"/>
      <c r="B14" s="431"/>
      <c r="D14" s="425"/>
      <c r="E14" s="425"/>
      <c r="F14" s="433"/>
      <c r="G14" s="433"/>
      <c r="H14" s="433"/>
      <c r="I14" s="433"/>
      <c r="J14" s="433"/>
      <c r="K14" s="433"/>
      <c r="L14" s="433"/>
      <c r="M14" s="433"/>
      <c r="N14" s="433"/>
      <c r="O14" s="433"/>
      <c r="P14" s="425"/>
    </row>
    <row r="15" ht="11.25" customHeight="1">
      <c r="A15" s="425" t="b">
        <v>1</v>
      </c>
      <c r="B15" s="432" t="s">
        <v>2</v>
      </c>
      <c r="D15" s="433"/>
      <c r="E15" s="427"/>
      <c r="F15" s="434" t="s">
        <v>226</v>
      </c>
      <c r="G15" s="435"/>
      <c r="H15" s="435"/>
      <c r="I15" s="435"/>
      <c r="J15" s="435"/>
      <c r="K15" s="435"/>
      <c r="L15" s="435"/>
      <c r="M15" s="435"/>
      <c r="N15" s="435"/>
      <c r="O15" s="436"/>
      <c r="P15" s="425"/>
    </row>
    <row r="16" ht="11.25" customHeight="1">
      <c r="D16" s="427"/>
      <c r="E16" s="427"/>
      <c r="F16" s="437"/>
      <c r="G16" s="438"/>
      <c r="H16" s="438"/>
      <c r="I16" s="438"/>
      <c r="J16" s="438"/>
      <c r="K16" s="438"/>
      <c r="L16" s="438"/>
      <c r="M16" s="438"/>
      <c r="N16" s="438"/>
      <c r="O16" s="439"/>
      <c r="P16" s="425"/>
    </row>
    <row r="17" ht="11.25" customHeight="1">
      <c r="A17" s="425"/>
      <c r="B17" s="431"/>
      <c r="D17" s="440" t="s">
        <v>87</v>
      </c>
      <c r="F17" s="433"/>
      <c r="G17" s="433"/>
      <c r="H17" s="433"/>
      <c r="I17" s="433"/>
      <c r="J17" s="433"/>
      <c r="K17" s="433"/>
      <c r="L17" s="433"/>
      <c r="M17" s="433"/>
      <c r="N17" s="433"/>
      <c r="O17" s="433"/>
      <c r="P17" s="425"/>
    </row>
    <row r="18" ht="22.5" customHeight="1">
      <c r="A18" s="425" t="b">
        <v>0</v>
      </c>
      <c r="B18" s="432" t="s">
        <v>227</v>
      </c>
      <c r="F18" s="428" t="s">
        <v>228</v>
      </c>
      <c r="G18" s="429"/>
      <c r="H18" s="429"/>
      <c r="I18" s="429"/>
      <c r="J18" s="429"/>
      <c r="K18" s="429"/>
      <c r="L18" s="429"/>
      <c r="M18" s="429"/>
      <c r="N18" s="429"/>
      <c r="O18" s="430"/>
      <c r="P18" s="425"/>
    </row>
    <row r="19" ht="11.25" customHeight="1">
      <c r="A19" s="425"/>
      <c r="B19" s="431"/>
      <c r="F19" s="433"/>
      <c r="G19" s="433"/>
      <c r="H19" s="433"/>
      <c r="I19" s="433"/>
      <c r="J19" s="433"/>
      <c r="K19" s="433"/>
      <c r="L19" s="433"/>
      <c r="M19" s="433"/>
      <c r="N19" s="433"/>
      <c r="O19" s="433"/>
      <c r="P19" s="425"/>
    </row>
    <row r="20" ht="22.5" customHeight="1">
      <c r="A20" s="425" t="b">
        <v>1</v>
      </c>
      <c r="B20" s="432" t="s">
        <v>229</v>
      </c>
      <c r="F20" s="428" t="s">
        <v>230</v>
      </c>
      <c r="G20" s="429"/>
      <c r="H20" s="429"/>
      <c r="I20" s="429"/>
      <c r="J20" s="429"/>
      <c r="K20" s="429"/>
      <c r="L20" s="429"/>
      <c r="M20" s="429"/>
      <c r="N20" s="429"/>
      <c r="O20" s="430"/>
      <c r="P20" s="425"/>
    </row>
    <row r="21" ht="11.25" customHeight="1">
      <c r="A21" s="425"/>
      <c r="B21" s="431"/>
      <c r="F21" s="433"/>
      <c r="G21" s="433"/>
      <c r="H21" s="433"/>
      <c r="I21" s="433"/>
      <c r="J21" s="433"/>
      <c r="K21" s="433"/>
      <c r="L21" s="433"/>
      <c r="M21" s="433"/>
      <c r="N21" s="433"/>
      <c r="O21" s="433"/>
      <c r="P21" s="425"/>
    </row>
    <row r="22" ht="22.5" customHeight="1">
      <c r="A22" s="425" t="b">
        <v>1</v>
      </c>
      <c r="B22" s="432" t="s">
        <v>220</v>
      </c>
      <c r="F22" s="428" t="s">
        <v>231</v>
      </c>
      <c r="G22" s="429"/>
      <c r="H22" s="429"/>
      <c r="I22" s="429"/>
      <c r="J22" s="429"/>
      <c r="K22" s="429"/>
      <c r="L22" s="429"/>
      <c r="M22" s="429"/>
      <c r="N22" s="429"/>
      <c r="O22" s="430"/>
      <c r="P22" s="425"/>
    </row>
    <row r="23" ht="11.25" customHeight="1">
      <c r="A23" s="425"/>
      <c r="B23" s="431"/>
      <c r="F23" s="433"/>
      <c r="G23" s="433"/>
      <c r="H23" s="433"/>
      <c r="I23" s="433"/>
      <c r="J23" s="433"/>
      <c r="K23" s="433"/>
      <c r="L23" s="433"/>
      <c r="M23" s="433"/>
      <c r="N23" s="433"/>
      <c r="O23" s="433"/>
      <c r="P23" s="425"/>
    </row>
    <row r="24" ht="11.25" customHeight="1">
      <c r="A24" s="425" t="b">
        <v>1</v>
      </c>
      <c r="B24" s="432" t="s">
        <v>232</v>
      </c>
      <c r="D24" s="441"/>
      <c r="E24" s="427"/>
      <c r="F24" s="434" t="s">
        <v>233</v>
      </c>
      <c r="G24" s="435"/>
      <c r="H24" s="435"/>
      <c r="I24" s="435"/>
      <c r="J24" s="435"/>
      <c r="K24" s="435"/>
      <c r="L24" s="435"/>
      <c r="M24" s="435"/>
      <c r="N24" s="435"/>
      <c r="O24" s="436"/>
      <c r="P24" s="425"/>
    </row>
    <row r="25" ht="11.25" customHeight="1">
      <c r="D25" s="425"/>
      <c r="E25" s="427"/>
      <c r="F25" s="437"/>
      <c r="G25" s="438"/>
      <c r="H25" s="438"/>
      <c r="I25" s="438"/>
      <c r="J25" s="438"/>
      <c r="K25" s="438"/>
      <c r="L25" s="438"/>
      <c r="M25" s="438"/>
      <c r="N25" s="438"/>
      <c r="O25" s="439"/>
      <c r="P25" s="425"/>
    </row>
    <row r="26" ht="11.25" customHeight="1">
      <c r="A26" s="425"/>
      <c r="B26" s="431"/>
      <c r="D26" s="425"/>
      <c r="E26" s="425"/>
      <c r="F26" s="433"/>
      <c r="G26" s="433"/>
      <c r="H26" s="433"/>
      <c r="I26" s="433"/>
      <c r="J26" s="433"/>
      <c r="K26" s="433"/>
      <c r="L26" s="433"/>
      <c r="M26" s="433"/>
      <c r="N26" s="433"/>
      <c r="O26" s="433"/>
      <c r="P26" s="425"/>
    </row>
    <row r="27" ht="11.25" customHeight="1">
      <c r="A27" s="425" t="b">
        <v>1</v>
      </c>
      <c r="B27" s="432" t="s">
        <v>6</v>
      </c>
      <c r="D27" s="433"/>
      <c r="E27" s="427"/>
      <c r="F27" s="434" t="s">
        <v>234</v>
      </c>
      <c r="G27" s="435"/>
      <c r="H27" s="435"/>
      <c r="I27" s="435"/>
      <c r="J27" s="435"/>
      <c r="K27" s="435"/>
      <c r="L27" s="435"/>
      <c r="M27" s="435"/>
      <c r="N27" s="435"/>
      <c r="O27" s="436"/>
      <c r="P27" s="425"/>
    </row>
    <row r="28" ht="11.25" customHeight="1">
      <c r="D28" s="427"/>
      <c r="E28" s="427"/>
      <c r="F28" s="437"/>
      <c r="G28" s="438"/>
      <c r="H28" s="438"/>
      <c r="I28" s="438"/>
      <c r="J28" s="438"/>
      <c r="K28" s="438"/>
      <c r="L28" s="438"/>
      <c r="M28" s="438"/>
      <c r="N28" s="438"/>
      <c r="O28" s="439"/>
      <c r="P28" s="425"/>
    </row>
    <row r="29" ht="11.25" customHeight="1">
      <c r="A29" s="425"/>
      <c r="B29" s="431"/>
      <c r="D29" s="427"/>
      <c r="E29" s="425"/>
      <c r="F29" s="433"/>
      <c r="G29" s="433"/>
      <c r="H29" s="433"/>
      <c r="I29" s="433"/>
      <c r="J29" s="433"/>
      <c r="K29" s="433"/>
      <c r="L29" s="433"/>
      <c r="M29" s="433"/>
      <c r="N29" s="433"/>
      <c r="O29" s="433"/>
      <c r="P29" s="425"/>
    </row>
    <row r="30" ht="22.5" customHeight="1">
      <c r="A30" s="425" t="b">
        <v>1</v>
      </c>
      <c r="B30" s="432" t="s">
        <v>235</v>
      </c>
      <c r="D30" s="440" t="s">
        <v>100</v>
      </c>
      <c r="F30" s="428" t="s">
        <v>236</v>
      </c>
      <c r="G30" s="429"/>
      <c r="H30" s="429"/>
      <c r="I30" s="429"/>
      <c r="J30" s="429"/>
      <c r="K30" s="429"/>
      <c r="L30" s="429"/>
      <c r="M30" s="429"/>
      <c r="N30" s="429"/>
      <c r="O30" s="430"/>
      <c r="P30" s="425"/>
    </row>
    <row r="31" ht="11.25" customHeight="1">
      <c r="A31" s="425"/>
      <c r="B31" s="431"/>
      <c r="F31" s="433"/>
      <c r="G31" s="433"/>
      <c r="H31" s="433"/>
      <c r="I31" s="433"/>
      <c r="J31" s="433"/>
      <c r="K31" s="433"/>
      <c r="L31" s="433"/>
      <c r="M31" s="433"/>
      <c r="N31" s="433"/>
      <c r="O31" s="433"/>
      <c r="P31" s="425"/>
    </row>
    <row r="32" ht="22.5" customHeight="1">
      <c r="A32" s="425" t="b">
        <v>1</v>
      </c>
      <c r="B32" s="432" t="s">
        <v>237</v>
      </c>
      <c r="F32" s="428" t="s">
        <v>238</v>
      </c>
      <c r="G32" s="429"/>
      <c r="H32" s="429"/>
      <c r="I32" s="429"/>
      <c r="J32" s="429"/>
      <c r="K32" s="429"/>
      <c r="L32" s="429"/>
      <c r="M32" s="429"/>
      <c r="N32" s="429"/>
      <c r="O32" s="430"/>
      <c r="P32" s="425"/>
    </row>
    <row r="33" ht="11.25" customHeight="1">
      <c r="A33" s="425"/>
      <c r="B33" s="431"/>
      <c r="F33" s="433"/>
      <c r="G33" s="433"/>
      <c r="H33" s="433"/>
      <c r="I33" s="433"/>
      <c r="J33" s="433"/>
      <c r="K33" s="433"/>
      <c r="L33" s="433"/>
      <c r="M33" s="433"/>
      <c r="N33" s="433"/>
      <c r="O33" s="433"/>
      <c r="P33" s="425"/>
    </row>
    <row r="34" ht="22.5" customHeight="1">
      <c r="A34" s="425" t="b">
        <v>1</v>
      </c>
      <c r="B34" s="432" t="s">
        <v>239</v>
      </c>
      <c r="F34" s="428" t="s">
        <v>240</v>
      </c>
      <c r="G34" s="429"/>
      <c r="H34" s="429"/>
      <c r="I34" s="429"/>
      <c r="J34" s="429"/>
      <c r="K34" s="429"/>
      <c r="L34" s="429"/>
      <c r="M34" s="429"/>
      <c r="N34" s="429"/>
      <c r="O34" s="430"/>
      <c r="P34" s="425"/>
    </row>
    <row r="35" ht="11.25" customHeight="1">
      <c r="A35" s="425"/>
      <c r="B35" s="431"/>
      <c r="D35" s="427"/>
      <c r="E35" s="442"/>
      <c r="F35" s="433"/>
      <c r="G35" s="433"/>
      <c r="H35" s="433"/>
      <c r="I35" s="433"/>
      <c r="J35" s="433"/>
      <c r="K35" s="433"/>
      <c r="L35" s="433"/>
      <c r="M35" s="433"/>
      <c r="N35" s="433"/>
      <c r="O35" s="433"/>
      <c r="P35" s="425"/>
    </row>
    <row r="36" ht="11.25" customHeight="1">
      <c r="A36" s="425" t="b">
        <v>0</v>
      </c>
      <c r="B36" s="432" t="s">
        <v>241</v>
      </c>
      <c r="D36" s="441"/>
      <c r="E36" s="443"/>
      <c r="F36" s="434" t="s">
        <v>242</v>
      </c>
      <c r="G36" s="435"/>
      <c r="H36" s="435"/>
      <c r="I36" s="435"/>
      <c r="J36" s="435"/>
      <c r="K36" s="435"/>
      <c r="L36" s="435"/>
      <c r="M36" s="435"/>
      <c r="N36" s="435"/>
      <c r="O36" s="436"/>
      <c r="P36" s="425"/>
    </row>
    <row r="37" ht="11.25" customHeight="1">
      <c r="D37" s="425"/>
      <c r="E37" s="443"/>
      <c r="F37" s="437"/>
      <c r="G37" s="438"/>
      <c r="H37" s="438"/>
      <c r="I37" s="438"/>
      <c r="J37" s="438"/>
      <c r="K37" s="438"/>
      <c r="L37" s="438"/>
      <c r="M37" s="438"/>
      <c r="N37" s="438"/>
      <c r="O37" s="439"/>
      <c r="P37" s="425"/>
    </row>
    <row r="38" ht="11.25" customHeight="1">
      <c r="A38" s="425"/>
      <c r="B38" s="431"/>
      <c r="D38" s="425"/>
      <c r="E38" s="425"/>
      <c r="F38" s="433"/>
      <c r="G38" s="433"/>
      <c r="H38" s="433"/>
      <c r="I38" s="433"/>
      <c r="J38" s="433"/>
      <c r="K38" s="433"/>
      <c r="L38" s="433"/>
      <c r="M38" s="433"/>
      <c r="N38" s="433"/>
      <c r="O38" s="433"/>
      <c r="P38" s="425"/>
    </row>
    <row r="39" ht="11.25" customHeight="1">
      <c r="A39" s="425" t="b">
        <v>0</v>
      </c>
      <c r="B39" s="432" t="s">
        <v>220</v>
      </c>
      <c r="D39" s="433"/>
      <c r="E39" s="427"/>
      <c r="F39" s="434" t="s">
        <v>243</v>
      </c>
      <c r="G39" s="435"/>
      <c r="H39" s="435"/>
      <c r="I39" s="435"/>
      <c r="J39" s="435"/>
      <c r="K39" s="435"/>
      <c r="L39" s="435"/>
      <c r="M39" s="435"/>
      <c r="N39" s="435"/>
      <c r="O39" s="436"/>
      <c r="P39" s="425"/>
    </row>
    <row r="40" ht="11.25" customHeight="1">
      <c r="D40" s="427"/>
      <c r="E40" s="427"/>
      <c r="F40" s="437"/>
      <c r="G40" s="438"/>
      <c r="H40" s="438"/>
      <c r="I40" s="438"/>
      <c r="J40" s="438"/>
      <c r="K40" s="438"/>
      <c r="L40" s="438"/>
      <c r="M40" s="438"/>
      <c r="N40" s="438"/>
      <c r="O40" s="439"/>
      <c r="P40" s="425"/>
    </row>
    <row r="41" ht="11.25" customHeight="1">
      <c r="A41" s="425"/>
      <c r="B41" s="431"/>
      <c r="D41" s="440" t="s">
        <v>110</v>
      </c>
      <c r="F41" s="433"/>
      <c r="G41" s="433"/>
      <c r="H41" s="433"/>
      <c r="I41" s="433"/>
      <c r="J41" s="433"/>
      <c r="K41" s="433"/>
      <c r="L41" s="433"/>
      <c r="M41" s="433"/>
      <c r="N41" s="433"/>
      <c r="O41" s="433"/>
      <c r="P41" s="425"/>
    </row>
    <row r="42" ht="22.5" customHeight="1">
      <c r="A42" s="425" t="b">
        <v>0</v>
      </c>
      <c r="B42" s="432" t="s">
        <v>244</v>
      </c>
      <c r="F42" s="428" t="s">
        <v>245</v>
      </c>
      <c r="G42" s="429"/>
      <c r="H42" s="429"/>
      <c r="I42" s="429"/>
      <c r="J42" s="429"/>
      <c r="K42" s="429"/>
      <c r="L42" s="429"/>
      <c r="M42" s="429"/>
      <c r="N42" s="429"/>
      <c r="O42" s="430"/>
      <c r="P42" s="425"/>
    </row>
    <row r="43" ht="11.25" customHeight="1">
      <c r="A43" s="425"/>
      <c r="B43" s="431"/>
      <c r="F43" s="433"/>
      <c r="G43" s="433"/>
      <c r="H43" s="433"/>
      <c r="I43" s="433"/>
      <c r="J43" s="433"/>
      <c r="K43" s="433"/>
      <c r="L43" s="433"/>
      <c r="M43" s="433"/>
      <c r="N43" s="433"/>
      <c r="O43" s="433"/>
      <c r="P43" s="425"/>
    </row>
    <row r="44" ht="22.5" customHeight="1">
      <c r="A44" s="425" t="b">
        <v>0</v>
      </c>
      <c r="B44" s="432" t="s">
        <v>10</v>
      </c>
      <c r="F44" s="428" t="s">
        <v>246</v>
      </c>
      <c r="G44" s="429"/>
      <c r="H44" s="429"/>
      <c r="I44" s="429"/>
      <c r="J44" s="429"/>
      <c r="K44" s="429"/>
      <c r="L44" s="429"/>
      <c r="M44" s="429"/>
      <c r="N44" s="429"/>
      <c r="O44" s="430"/>
      <c r="P44" s="425"/>
    </row>
    <row r="45" ht="11.25" customHeight="1">
      <c r="A45" s="425"/>
      <c r="B45" s="431"/>
      <c r="F45" s="433"/>
      <c r="G45" s="433"/>
      <c r="H45" s="433"/>
      <c r="I45" s="433"/>
      <c r="J45" s="433"/>
      <c r="K45" s="433"/>
      <c r="L45" s="433"/>
      <c r="M45" s="433"/>
      <c r="N45" s="433"/>
      <c r="O45" s="433"/>
      <c r="P45" s="425"/>
    </row>
    <row r="46" ht="11.25" customHeight="1">
      <c r="A46" s="425" t="b">
        <v>0</v>
      </c>
      <c r="B46" s="432" t="s">
        <v>220</v>
      </c>
      <c r="D46" s="441"/>
      <c r="E46" s="427"/>
      <c r="F46" s="434" t="s">
        <v>247</v>
      </c>
      <c r="G46" s="435"/>
      <c r="H46" s="435"/>
      <c r="I46" s="435"/>
      <c r="J46" s="435"/>
      <c r="K46" s="435"/>
      <c r="L46" s="435"/>
      <c r="M46" s="435"/>
      <c r="N46" s="435"/>
      <c r="O46" s="436"/>
      <c r="P46" s="425"/>
    </row>
    <row r="47" ht="11.25" customHeight="1">
      <c r="D47" s="425"/>
      <c r="E47" s="427"/>
      <c r="F47" s="437"/>
      <c r="G47" s="438"/>
      <c r="H47" s="438"/>
      <c r="I47" s="438"/>
      <c r="J47" s="438"/>
      <c r="K47" s="438"/>
      <c r="L47" s="438"/>
      <c r="M47" s="438"/>
      <c r="N47" s="438"/>
      <c r="O47" s="439"/>
      <c r="P47" s="425"/>
    </row>
    <row r="48" ht="11.25" customHeight="1">
      <c r="A48" s="425"/>
      <c r="B48" s="431"/>
      <c r="D48" s="425"/>
      <c r="E48" s="425"/>
      <c r="F48" s="433"/>
      <c r="G48" s="433"/>
      <c r="H48" s="433"/>
      <c r="I48" s="433"/>
      <c r="J48" s="433"/>
      <c r="K48" s="433"/>
      <c r="L48" s="433"/>
      <c r="M48" s="433"/>
      <c r="N48" s="433"/>
      <c r="O48" s="433"/>
      <c r="P48" s="425"/>
    </row>
    <row r="49" ht="22.5" customHeight="1">
      <c r="A49" s="425" t="b">
        <v>0</v>
      </c>
      <c r="B49" s="432" t="s">
        <v>248</v>
      </c>
      <c r="D49" s="425"/>
      <c r="E49" s="427"/>
      <c r="F49" s="428" t="s">
        <v>249</v>
      </c>
      <c r="G49" s="429"/>
      <c r="H49" s="429"/>
      <c r="I49" s="429"/>
      <c r="J49" s="429"/>
      <c r="K49" s="429"/>
      <c r="L49" s="429"/>
      <c r="M49" s="429"/>
      <c r="N49" s="429"/>
      <c r="O49" s="430"/>
      <c r="P49" s="425"/>
    </row>
    <row r="50" ht="7.5" customHeight="1">
      <c r="A50" s="1"/>
      <c r="B50" s="2"/>
      <c r="C50" s="2"/>
      <c r="D50" s="2"/>
      <c r="E50" s="2"/>
      <c r="F50" s="444"/>
      <c r="G50" s="444"/>
      <c r="H50" s="444"/>
      <c r="I50" s="444"/>
      <c r="J50" s="444"/>
      <c r="K50" s="444"/>
      <c r="L50" s="444"/>
      <c r="M50" s="444"/>
      <c r="N50" s="444"/>
      <c r="O50" s="444"/>
      <c r="P50" s="2"/>
    </row>
    <row r="51" ht="30.0" customHeight="1">
      <c r="A51" s="445" t="s">
        <v>250</v>
      </c>
    </row>
    <row r="52" ht="15.75" customHeight="1">
      <c r="A52" s="446"/>
      <c r="B52" s="446"/>
      <c r="C52" s="447" t="s">
        <v>251</v>
      </c>
      <c r="D52" s="446"/>
      <c r="E52" s="446"/>
      <c r="F52" s="448" t="b">
        <v>1</v>
      </c>
      <c r="G52" s="449" t="s">
        <v>252</v>
      </c>
      <c r="H52" s="446"/>
      <c r="I52" s="446"/>
      <c r="J52" s="446"/>
      <c r="K52" s="448" t="b">
        <v>1</v>
      </c>
      <c r="L52" s="449" t="s">
        <v>253</v>
      </c>
      <c r="M52" s="446"/>
      <c r="N52" s="446"/>
      <c r="O52" s="446"/>
      <c r="P52" s="446"/>
    </row>
    <row r="53" ht="11.25" customHeight="1">
      <c r="A53" s="450" t="str">
        <f>'TERMIN - DANE'!B6</f>
        <v>IMIĘ I NAZWISKO</v>
      </c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451" t="s">
        <v>59</v>
      </c>
    </row>
    <row r="54" ht="11.25" customHeight="1">
      <c r="A54" s="410" t="s">
        <v>60</v>
      </c>
      <c r="B54" s="154"/>
      <c r="C54" s="411" t="s">
        <v>61</v>
      </c>
      <c r="G54" s="154"/>
      <c r="H54" s="154"/>
      <c r="I54" s="154"/>
      <c r="J54" s="154"/>
      <c r="K54" s="156" t="s">
        <v>62</v>
      </c>
      <c r="L54" s="154"/>
      <c r="M54" s="154"/>
      <c r="N54" s="154"/>
      <c r="O54" s="155" t="s">
        <v>63</v>
      </c>
    </row>
    <row r="55" ht="11.25" customHeight="1">
      <c r="A55" s="452" t="s">
        <v>64</v>
      </c>
      <c r="B55" s="158"/>
      <c r="C55" s="159" t="s">
        <v>65</v>
      </c>
      <c r="G55" s="154"/>
      <c r="H55" s="158"/>
      <c r="I55" s="158"/>
      <c r="J55" s="154"/>
      <c r="K55" s="160" t="s">
        <v>66</v>
      </c>
      <c r="L55" s="154"/>
      <c r="M55" s="158"/>
      <c r="N55" s="158"/>
      <c r="O55" s="159" t="s">
        <v>67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B29:C29"/>
    <mergeCell ref="B30:C30"/>
    <mergeCell ref="D30:E34"/>
    <mergeCell ref="B31:C31"/>
    <mergeCell ref="B32:C32"/>
    <mergeCell ref="B33:C33"/>
    <mergeCell ref="B34:C34"/>
    <mergeCell ref="B41:C41"/>
    <mergeCell ref="B42:C42"/>
    <mergeCell ref="B43:C43"/>
    <mergeCell ref="B44:C44"/>
    <mergeCell ref="B45:C45"/>
    <mergeCell ref="A46:A47"/>
    <mergeCell ref="B46:C47"/>
    <mergeCell ref="B48:C48"/>
    <mergeCell ref="B49:C49"/>
    <mergeCell ref="A53:D53"/>
    <mergeCell ref="C54:F54"/>
    <mergeCell ref="C55:F55"/>
    <mergeCell ref="B35:C35"/>
    <mergeCell ref="A36:A37"/>
    <mergeCell ref="B36:C37"/>
    <mergeCell ref="B38:C38"/>
    <mergeCell ref="A39:A40"/>
    <mergeCell ref="B39:C40"/>
    <mergeCell ref="D41:E45"/>
    <mergeCell ref="A1:E5"/>
    <mergeCell ref="O1:P1"/>
    <mergeCell ref="L5:P5"/>
    <mergeCell ref="A6:P8"/>
    <mergeCell ref="B9:C9"/>
    <mergeCell ref="F9:O9"/>
    <mergeCell ref="B10:C10"/>
    <mergeCell ref="B11:C11"/>
    <mergeCell ref="F11:O11"/>
    <mergeCell ref="B12:C12"/>
    <mergeCell ref="B13:C13"/>
    <mergeCell ref="F13:O13"/>
    <mergeCell ref="B14:C14"/>
    <mergeCell ref="A15:A16"/>
    <mergeCell ref="B20:C20"/>
    <mergeCell ref="F20:O20"/>
    <mergeCell ref="B21:C21"/>
    <mergeCell ref="B22:C22"/>
    <mergeCell ref="B15:C16"/>
    <mergeCell ref="F15:O16"/>
    <mergeCell ref="B17:C17"/>
    <mergeCell ref="D17:E23"/>
    <mergeCell ref="B18:C18"/>
    <mergeCell ref="F18:O18"/>
    <mergeCell ref="F22:O22"/>
    <mergeCell ref="B19:C19"/>
    <mergeCell ref="B23:C23"/>
    <mergeCell ref="A24:A25"/>
    <mergeCell ref="B24:C25"/>
    <mergeCell ref="B26:C26"/>
    <mergeCell ref="A27:A28"/>
    <mergeCell ref="B27:C28"/>
    <mergeCell ref="F42:O42"/>
    <mergeCell ref="F44:O44"/>
    <mergeCell ref="F46:O47"/>
    <mergeCell ref="F49:O49"/>
    <mergeCell ref="A51:P51"/>
    <mergeCell ref="O54:P54"/>
    <mergeCell ref="O55:P55"/>
    <mergeCell ref="F24:O25"/>
    <mergeCell ref="F27:O28"/>
    <mergeCell ref="F30:O30"/>
    <mergeCell ref="F32:O32"/>
    <mergeCell ref="F34:O34"/>
    <mergeCell ref="F36:O37"/>
    <mergeCell ref="F39:O4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3" width="7.63"/>
    <col customWidth="1" min="4" max="5" width="3.88"/>
    <col customWidth="1" min="6" max="6" width="5.13"/>
    <col customWidth="1" min="7" max="7" width="8.88"/>
    <col customWidth="1" min="8" max="11" width="5.13"/>
    <col customWidth="1" min="12" max="12" width="5.75"/>
    <col customWidth="1" min="13" max="14" width="8.88"/>
    <col customWidth="1" min="15" max="15" width="5.13"/>
  </cols>
  <sheetData>
    <row r="1">
      <c r="A1" s="2" t="str">
        <f>'TERMIN - DANE'!B2</f>
        <v/>
      </c>
      <c r="F1" s="2"/>
      <c r="G1" s="2"/>
      <c r="H1" s="2"/>
      <c r="I1" s="1"/>
      <c r="J1" s="1"/>
      <c r="K1" s="1"/>
      <c r="L1" s="1"/>
      <c r="M1" s="62" t="s">
        <v>39</v>
      </c>
      <c r="N1" s="63">
        <f>TODAY()</f>
        <v>46211</v>
      </c>
      <c r="O1" s="64"/>
    </row>
    <row r="2">
      <c r="F2" s="2"/>
      <c r="G2" s="2"/>
      <c r="H2" s="2"/>
      <c r="I2" s="1"/>
      <c r="J2" s="1"/>
      <c r="K2" s="1"/>
      <c r="L2" s="1"/>
      <c r="M2" s="1"/>
      <c r="N2" s="65"/>
      <c r="O2" s="65"/>
    </row>
    <row r="3">
      <c r="F3" s="2"/>
      <c r="G3" s="2"/>
      <c r="H3" s="2"/>
      <c r="I3" s="1"/>
      <c r="J3" s="1"/>
      <c r="K3" s="1"/>
      <c r="L3" s="1"/>
      <c r="M3" s="62" t="s">
        <v>40</v>
      </c>
      <c r="N3" s="67"/>
      <c r="O3" s="424" t="s">
        <v>217</v>
      </c>
    </row>
    <row r="4">
      <c r="F4" s="2"/>
      <c r="G4" s="2"/>
      <c r="H4" s="2"/>
      <c r="I4" s="1"/>
      <c r="J4" s="1"/>
      <c r="K4" s="1"/>
      <c r="L4" s="1"/>
      <c r="M4" s="1"/>
      <c r="N4" s="1"/>
      <c r="O4" s="1"/>
    </row>
    <row r="5">
      <c r="F5" s="2"/>
      <c r="G5" s="2"/>
      <c r="H5" s="2"/>
      <c r="I5" s="1"/>
      <c r="J5" s="67"/>
      <c r="K5" s="69" t="s">
        <v>42</v>
      </c>
      <c r="L5" s="298" t="s">
        <v>218</v>
      </c>
      <c r="M5" s="13"/>
      <c r="N5" s="13"/>
      <c r="O5" s="64"/>
    </row>
    <row r="6">
      <c r="A6" s="71" t="s">
        <v>254</v>
      </c>
    </row>
    <row r="8" ht="15.0" customHeight="1"/>
    <row r="9" ht="15.0" customHeight="1">
      <c r="A9" s="453"/>
      <c r="B9" s="454" t="s">
        <v>255</v>
      </c>
      <c r="O9" s="455"/>
    </row>
    <row r="10" ht="15.0" customHeight="1">
      <c r="A10" s="2"/>
      <c r="B10" s="456"/>
      <c r="C10" s="35"/>
      <c r="D10" s="446"/>
      <c r="E10" s="446"/>
      <c r="F10" s="446"/>
      <c r="G10" s="446"/>
      <c r="H10" s="446"/>
      <c r="I10" s="446"/>
      <c r="J10" s="446"/>
      <c r="K10" s="446"/>
      <c r="L10" s="446"/>
      <c r="M10" s="457" t="s">
        <v>256</v>
      </c>
      <c r="N10" s="457" t="s">
        <v>257</v>
      </c>
      <c r="O10" s="2"/>
    </row>
    <row r="11" ht="22.5" customHeight="1">
      <c r="A11" s="72"/>
      <c r="B11" s="458" t="s">
        <v>258</v>
      </c>
      <c r="C11" s="35"/>
      <c r="D11" s="26"/>
      <c r="E11" s="459" t="s">
        <v>259</v>
      </c>
      <c r="F11" s="35"/>
      <c r="G11" s="35"/>
      <c r="H11" s="35"/>
      <c r="I11" s="35"/>
      <c r="J11" s="35"/>
      <c r="K11" s="35"/>
      <c r="L11" s="26"/>
      <c r="M11" s="460" t="s">
        <v>260</v>
      </c>
      <c r="N11" s="460" t="s">
        <v>261</v>
      </c>
      <c r="O11" s="2"/>
    </row>
    <row r="12" ht="22.5" customHeight="1">
      <c r="A12" s="72"/>
      <c r="B12" s="458" t="s">
        <v>262</v>
      </c>
      <c r="C12" s="35"/>
      <c r="D12" s="26"/>
      <c r="E12" s="459" t="s">
        <v>263</v>
      </c>
      <c r="F12" s="35"/>
      <c r="G12" s="35"/>
      <c r="H12" s="35"/>
      <c r="I12" s="35"/>
      <c r="J12" s="35"/>
      <c r="K12" s="35"/>
      <c r="L12" s="26"/>
      <c r="M12" s="460" t="s">
        <v>260</v>
      </c>
      <c r="N12" s="460" t="s">
        <v>264</v>
      </c>
      <c r="O12" s="2"/>
    </row>
    <row r="13" ht="22.5" customHeight="1">
      <c r="A13" s="72"/>
      <c r="B13" s="458" t="s">
        <v>265</v>
      </c>
      <c r="C13" s="35"/>
      <c r="D13" s="26"/>
      <c r="E13" s="459" t="s">
        <v>266</v>
      </c>
      <c r="F13" s="35"/>
      <c r="G13" s="35"/>
      <c r="H13" s="35"/>
      <c r="I13" s="35"/>
      <c r="J13" s="35"/>
      <c r="K13" s="35"/>
      <c r="L13" s="26"/>
      <c r="M13" s="460" t="s">
        <v>260</v>
      </c>
      <c r="N13" s="460" t="s">
        <v>261</v>
      </c>
      <c r="O13" s="2"/>
    </row>
    <row r="14" ht="22.5" customHeight="1">
      <c r="A14" s="72"/>
      <c r="B14" s="458" t="s">
        <v>267</v>
      </c>
      <c r="C14" s="35"/>
      <c r="D14" s="26"/>
      <c r="E14" s="459" t="s">
        <v>268</v>
      </c>
      <c r="F14" s="35"/>
      <c r="G14" s="35"/>
      <c r="H14" s="35"/>
      <c r="I14" s="35"/>
      <c r="J14" s="35"/>
      <c r="K14" s="35"/>
      <c r="L14" s="26"/>
      <c r="M14" s="460" t="s">
        <v>269</v>
      </c>
      <c r="N14" s="460" t="s">
        <v>270</v>
      </c>
      <c r="O14" s="2"/>
    </row>
    <row r="15" ht="22.5" customHeight="1">
      <c r="A15" s="72"/>
      <c r="B15" s="458" t="s">
        <v>271</v>
      </c>
      <c r="C15" s="35"/>
      <c r="D15" s="26"/>
      <c r="E15" s="459" t="s">
        <v>272</v>
      </c>
      <c r="F15" s="35"/>
      <c r="G15" s="35"/>
      <c r="H15" s="35"/>
      <c r="I15" s="35"/>
      <c r="J15" s="35"/>
      <c r="K15" s="35"/>
      <c r="L15" s="26"/>
      <c r="M15" s="460" t="s">
        <v>273</v>
      </c>
      <c r="N15" s="460" t="s">
        <v>274</v>
      </c>
      <c r="O15" s="2"/>
    </row>
    <row r="16" ht="22.5" customHeight="1">
      <c r="A16" s="79"/>
      <c r="B16" s="458" t="s">
        <v>275</v>
      </c>
      <c r="C16" s="35"/>
      <c r="D16" s="26"/>
      <c r="E16" s="459" t="s">
        <v>276</v>
      </c>
      <c r="F16" s="35"/>
      <c r="G16" s="35"/>
      <c r="H16" s="35"/>
      <c r="I16" s="35"/>
      <c r="J16" s="35"/>
      <c r="K16" s="35"/>
      <c r="L16" s="26"/>
      <c r="M16" s="460" t="s">
        <v>277</v>
      </c>
      <c r="N16" s="460" t="s">
        <v>278</v>
      </c>
      <c r="O16" s="2"/>
    </row>
    <row r="17" ht="15.0" customHeight="1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ht="15.0" customHeight="1">
      <c r="A18" s="453"/>
      <c r="B18" s="454" t="s">
        <v>241</v>
      </c>
      <c r="O18" s="455"/>
    </row>
    <row r="19" ht="15.0" customHeight="1">
      <c r="A19" s="2"/>
      <c r="B19" s="456"/>
      <c r="C19" s="35"/>
      <c r="D19" s="446"/>
      <c r="E19" s="446"/>
      <c r="F19" s="446"/>
      <c r="G19" s="446"/>
      <c r="H19" s="446"/>
      <c r="I19" s="446"/>
      <c r="J19" s="446"/>
      <c r="K19" s="446"/>
      <c r="L19" s="446"/>
      <c r="M19" s="457" t="s">
        <v>256</v>
      </c>
      <c r="N19" s="457" t="s">
        <v>257</v>
      </c>
      <c r="O19" s="2"/>
    </row>
    <row r="20" ht="22.5" customHeight="1">
      <c r="A20" s="72"/>
      <c r="B20" s="458" t="s">
        <v>279</v>
      </c>
      <c r="C20" s="35"/>
      <c r="D20" s="26"/>
      <c r="E20" s="459" t="s">
        <v>280</v>
      </c>
      <c r="F20" s="35"/>
      <c r="G20" s="35"/>
      <c r="H20" s="35"/>
      <c r="I20" s="35"/>
      <c r="J20" s="35"/>
      <c r="K20" s="35"/>
      <c r="L20" s="26"/>
      <c r="M20" s="460" t="s">
        <v>281</v>
      </c>
      <c r="N20" s="461" t="s">
        <v>282</v>
      </c>
      <c r="O20" s="2"/>
    </row>
    <row r="21" ht="22.5" customHeight="1">
      <c r="A21" s="72"/>
      <c r="B21" s="458" t="s">
        <v>283</v>
      </c>
      <c r="C21" s="35"/>
      <c r="D21" s="26"/>
      <c r="E21" s="459" t="s">
        <v>284</v>
      </c>
      <c r="F21" s="35"/>
      <c r="G21" s="35"/>
      <c r="H21" s="35"/>
      <c r="I21" s="35"/>
      <c r="J21" s="35"/>
      <c r="K21" s="35"/>
      <c r="L21" s="26"/>
      <c r="M21" s="460" t="s">
        <v>285</v>
      </c>
      <c r="N21" s="461" t="s">
        <v>286</v>
      </c>
      <c r="O21" s="2"/>
    </row>
    <row r="22" ht="22.5" customHeight="1">
      <c r="A22" s="72"/>
      <c r="B22" s="458" t="s">
        <v>287</v>
      </c>
      <c r="C22" s="35"/>
      <c r="D22" s="26"/>
      <c r="E22" s="459" t="s">
        <v>288</v>
      </c>
      <c r="F22" s="35"/>
      <c r="G22" s="35"/>
      <c r="H22" s="35"/>
      <c r="I22" s="35"/>
      <c r="J22" s="35"/>
      <c r="K22" s="35"/>
      <c r="L22" s="26"/>
      <c r="M22" s="460" t="s">
        <v>289</v>
      </c>
      <c r="N22" s="461" t="s">
        <v>290</v>
      </c>
      <c r="O22" s="2"/>
    </row>
    <row r="23" ht="22.5" customHeight="1">
      <c r="A23" s="72"/>
      <c r="B23" s="458" t="s">
        <v>291</v>
      </c>
      <c r="C23" s="35"/>
      <c r="D23" s="26"/>
      <c r="E23" s="459" t="s">
        <v>292</v>
      </c>
      <c r="F23" s="35"/>
      <c r="G23" s="35"/>
      <c r="H23" s="35"/>
      <c r="I23" s="35"/>
      <c r="J23" s="35"/>
      <c r="K23" s="35"/>
      <c r="L23" s="26"/>
      <c r="M23" s="460" t="s">
        <v>269</v>
      </c>
      <c r="N23" s="461" t="s">
        <v>293</v>
      </c>
      <c r="O23" s="2"/>
    </row>
    <row r="24" ht="7.5" customHeight="1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ht="22.5" customHeight="1">
      <c r="A25" s="2"/>
      <c r="B25" s="462" t="s">
        <v>294</v>
      </c>
      <c r="O25" s="2"/>
    </row>
    <row r="26" ht="15.0" customHeight="1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ht="15.0" customHeight="1">
      <c r="A27" s="453"/>
      <c r="B27" s="454" t="s">
        <v>295</v>
      </c>
      <c r="O27" s="455"/>
    </row>
    <row r="28" ht="15.0" customHeight="1">
      <c r="A28" s="2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57" t="s">
        <v>257</v>
      </c>
      <c r="O28" s="2"/>
    </row>
    <row r="29" ht="22.5" customHeight="1">
      <c r="A29" s="72"/>
      <c r="B29" s="458" t="s">
        <v>296</v>
      </c>
      <c r="C29" s="35"/>
      <c r="D29" s="26"/>
      <c r="E29" s="459" t="s">
        <v>297</v>
      </c>
      <c r="F29" s="35"/>
      <c r="G29" s="35"/>
      <c r="H29" s="35"/>
      <c r="I29" s="35"/>
      <c r="J29" s="35"/>
      <c r="K29" s="35"/>
      <c r="L29" s="35"/>
      <c r="M29" s="26"/>
      <c r="N29" s="463" t="s">
        <v>298</v>
      </c>
      <c r="O29" s="2"/>
    </row>
    <row r="30" ht="22.5" customHeight="1">
      <c r="A30" s="72"/>
      <c r="B30" s="458" t="s">
        <v>299</v>
      </c>
      <c r="C30" s="35"/>
      <c r="D30" s="26"/>
      <c r="E30" s="459" t="s">
        <v>300</v>
      </c>
      <c r="F30" s="35"/>
      <c r="G30" s="35"/>
      <c r="H30" s="35"/>
      <c r="I30" s="35"/>
      <c r="J30" s="35"/>
      <c r="K30" s="35"/>
      <c r="L30" s="35"/>
      <c r="M30" s="26"/>
      <c r="N30" s="460" t="s">
        <v>301</v>
      </c>
      <c r="O30" s="2"/>
    </row>
    <row r="31" ht="22.5" customHeight="1">
      <c r="A31" s="72"/>
      <c r="B31" s="458" t="s">
        <v>302</v>
      </c>
      <c r="C31" s="35"/>
      <c r="D31" s="26"/>
      <c r="E31" s="459" t="s">
        <v>303</v>
      </c>
      <c r="F31" s="35"/>
      <c r="G31" s="35"/>
      <c r="H31" s="35"/>
      <c r="I31" s="35"/>
      <c r="J31" s="35"/>
      <c r="K31" s="35"/>
      <c r="L31" s="35"/>
      <c r="M31" s="26"/>
      <c r="N31" s="460" t="s">
        <v>304</v>
      </c>
      <c r="O31" s="2"/>
    </row>
    <row r="32" ht="22.5" customHeight="1">
      <c r="A32" s="72"/>
      <c r="B32" s="458" t="s">
        <v>305</v>
      </c>
      <c r="C32" s="35"/>
      <c r="D32" s="26"/>
      <c r="E32" s="459" t="s">
        <v>306</v>
      </c>
      <c r="F32" s="35"/>
      <c r="G32" s="35"/>
      <c r="H32" s="35"/>
      <c r="I32" s="35"/>
      <c r="J32" s="35"/>
      <c r="K32" s="35"/>
      <c r="L32" s="35"/>
      <c r="M32" s="26"/>
      <c r="N32" s="460" t="s">
        <v>304</v>
      </c>
      <c r="O32" s="2"/>
    </row>
    <row r="33" ht="22.5" customHeight="1">
      <c r="A33" s="72"/>
      <c r="B33" s="458" t="s">
        <v>307</v>
      </c>
      <c r="C33" s="35"/>
      <c r="D33" s="26"/>
      <c r="E33" s="459" t="s">
        <v>308</v>
      </c>
      <c r="F33" s="35"/>
      <c r="G33" s="35"/>
      <c r="H33" s="35"/>
      <c r="I33" s="35"/>
      <c r="J33" s="35"/>
      <c r="K33" s="35"/>
      <c r="L33" s="35"/>
      <c r="M33" s="26"/>
      <c r="N33" s="463" t="s">
        <v>298</v>
      </c>
      <c r="O33" s="2"/>
    </row>
    <row r="34" ht="22.5" customHeight="1">
      <c r="A34" s="72"/>
      <c r="B34" s="458" t="s">
        <v>309</v>
      </c>
      <c r="C34" s="35"/>
      <c r="D34" s="26"/>
      <c r="E34" s="459" t="s">
        <v>310</v>
      </c>
      <c r="F34" s="35"/>
      <c r="G34" s="35"/>
      <c r="H34" s="35"/>
      <c r="I34" s="35"/>
      <c r="J34" s="35"/>
      <c r="K34" s="35"/>
      <c r="L34" s="35"/>
      <c r="M34" s="26"/>
      <c r="N34" s="460" t="s">
        <v>311</v>
      </c>
      <c r="O34" s="2"/>
    </row>
    <row r="35" ht="22.5" customHeight="1">
      <c r="A35" s="72"/>
      <c r="B35" s="458" t="s">
        <v>312</v>
      </c>
      <c r="C35" s="35"/>
      <c r="D35" s="26"/>
      <c r="E35" s="459" t="s">
        <v>313</v>
      </c>
      <c r="F35" s="35"/>
      <c r="G35" s="35"/>
      <c r="H35" s="35"/>
      <c r="I35" s="35"/>
      <c r="J35" s="35"/>
      <c r="K35" s="35"/>
      <c r="L35" s="35"/>
      <c r="M35" s="26"/>
      <c r="N35" s="460" t="s">
        <v>314</v>
      </c>
      <c r="O35" s="2"/>
    </row>
    <row r="36" ht="22.5" customHeight="1">
      <c r="A36" s="72"/>
      <c r="B36" s="458" t="s">
        <v>315</v>
      </c>
      <c r="C36" s="35"/>
      <c r="D36" s="26"/>
      <c r="E36" s="459" t="s">
        <v>316</v>
      </c>
      <c r="F36" s="35"/>
      <c r="G36" s="35"/>
      <c r="H36" s="35"/>
      <c r="I36" s="35"/>
      <c r="J36" s="35"/>
      <c r="K36" s="35"/>
      <c r="L36" s="35"/>
      <c r="M36" s="26"/>
      <c r="N36" s="460" t="s">
        <v>301</v>
      </c>
      <c r="O36" s="2"/>
    </row>
    <row r="37" ht="22.5" customHeight="1">
      <c r="A37" s="2"/>
      <c r="B37" s="464" t="s">
        <v>317</v>
      </c>
      <c r="C37" s="217"/>
      <c r="D37" s="311"/>
      <c r="E37" s="459" t="s">
        <v>318</v>
      </c>
      <c r="F37" s="35"/>
      <c r="G37" s="35"/>
      <c r="H37" s="35"/>
      <c r="I37" s="35"/>
      <c r="J37" s="35"/>
      <c r="K37" s="35"/>
      <c r="L37" s="35"/>
      <c r="M37" s="26"/>
      <c r="N37" s="460" t="s">
        <v>319</v>
      </c>
      <c r="O37" s="2"/>
    </row>
    <row r="38" ht="7.5" customHeight="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ht="22.5" customHeight="1">
      <c r="A39" s="2"/>
      <c r="B39" s="462" t="s">
        <v>320</v>
      </c>
      <c r="O39" s="2"/>
    </row>
    <row r="40" ht="7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22.5" customHeight="1">
      <c r="A41" s="465" t="s">
        <v>321</v>
      </c>
      <c r="O41" s="466"/>
    </row>
    <row r="42" ht="3.75" customHeight="1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</row>
    <row r="43" ht="11.25" customHeight="1">
      <c r="A43" s="450" t="str">
        <f>'TERMIN - DANE'!B6</f>
        <v>IMIĘ I NAZWISKO</v>
      </c>
      <c r="E43" s="154"/>
      <c r="F43" s="154"/>
      <c r="G43" s="154"/>
      <c r="H43" s="154"/>
      <c r="I43" s="154"/>
      <c r="J43" s="154"/>
      <c r="K43" s="467"/>
      <c r="L43" s="467"/>
      <c r="M43" s="467"/>
      <c r="N43" s="467"/>
      <c r="O43" s="152" t="s">
        <v>59</v>
      </c>
    </row>
    <row r="44" ht="11.25" customHeight="1">
      <c r="A44" s="410" t="s">
        <v>60</v>
      </c>
      <c r="B44" s="154"/>
      <c r="C44" s="411" t="s">
        <v>61</v>
      </c>
      <c r="G44" s="154"/>
      <c r="H44" s="154"/>
      <c r="I44" s="154"/>
      <c r="J44" s="154"/>
      <c r="K44" s="408" t="s">
        <v>62</v>
      </c>
      <c r="L44" s="1"/>
      <c r="M44" s="1"/>
      <c r="N44" s="155" t="s">
        <v>63</v>
      </c>
    </row>
    <row r="45" ht="11.25" customHeight="1">
      <c r="A45" s="452" t="s">
        <v>64</v>
      </c>
      <c r="B45" s="158"/>
      <c r="C45" s="159" t="s">
        <v>65</v>
      </c>
      <c r="G45" s="154"/>
      <c r="H45" s="158"/>
      <c r="I45" s="158"/>
      <c r="J45" s="154"/>
      <c r="K45" s="160" t="s">
        <v>66</v>
      </c>
      <c r="L45" s="1"/>
      <c r="M45" s="123"/>
      <c r="N45" s="159" t="s">
        <v>67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E31:M31"/>
    <mergeCell ref="E32:M32"/>
    <mergeCell ref="E33:M33"/>
    <mergeCell ref="E34:M34"/>
    <mergeCell ref="E35:M35"/>
    <mergeCell ref="E36:M36"/>
    <mergeCell ref="E37:M37"/>
    <mergeCell ref="B30:D30"/>
    <mergeCell ref="B31:D31"/>
    <mergeCell ref="B32:D32"/>
    <mergeCell ref="B33:D33"/>
    <mergeCell ref="B34:D34"/>
    <mergeCell ref="B35:D35"/>
    <mergeCell ref="A37:A38"/>
    <mergeCell ref="E12:L12"/>
    <mergeCell ref="E13:L13"/>
    <mergeCell ref="E14:L14"/>
    <mergeCell ref="E15:L15"/>
    <mergeCell ref="E16:L16"/>
    <mergeCell ref="B18:N18"/>
    <mergeCell ref="A1:E5"/>
    <mergeCell ref="N1:O1"/>
    <mergeCell ref="L5:O5"/>
    <mergeCell ref="A6:O8"/>
    <mergeCell ref="B9:N9"/>
    <mergeCell ref="B10:C10"/>
    <mergeCell ref="E11:L11"/>
    <mergeCell ref="B11:D11"/>
    <mergeCell ref="B12:D12"/>
    <mergeCell ref="B13:D13"/>
    <mergeCell ref="B14:D14"/>
    <mergeCell ref="A15:A16"/>
    <mergeCell ref="B15:D15"/>
    <mergeCell ref="B16:D16"/>
    <mergeCell ref="B19:C19"/>
    <mergeCell ref="B20:D20"/>
    <mergeCell ref="E20:L20"/>
    <mergeCell ref="B21:D21"/>
    <mergeCell ref="E21:L21"/>
    <mergeCell ref="B22:D22"/>
    <mergeCell ref="E22:L22"/>
    <mergeCell ref="B23:D23"/>
    <mergeCell ref="E23:L23"/>
    <mergeCell ref="B25:N25"/>
    <mergeCell ref="B27:N27"/>
    <mergeCell ref="B29:D29"/>
    <mergeCell ref="E29:M29"/>
    <mergeCell ref="E30:M30"/>
    <mergeCell ref="B36:D36"/>
    <mergeCell ref="B37:D37"/>
    <mergeCell ref="B39:N39"/>
    <mergeCell ref="A41:N41"/>
    <mergeCell ref="A43:D43"/>
    <mergeCell ref="C44:F44"/>
    <mergeCell ref="N44:O44"/>
    <mergeCell ref="C45:F45"/>
    <mergeCell ref="N45:O45"/>
  </mergeCells>
  <drawing r:id="rId1"/>
</worksheet>
</file>